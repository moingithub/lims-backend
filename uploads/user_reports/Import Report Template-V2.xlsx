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codeName="ThisWorkbook"/>
  <bookViews>
    <workbookView xWindow="9360" yWindow="285" windowWidth="15480" windowHeight="11760" tabRatio="679" activeTab="1"/>
  </bookViews>
  <sheets>
    <sheet name="C6+ H2S" sheetId="3" r:id="rId1"/>
    <sheet name="Report" sheetId="5" r:id="rId2"/>
    <sheet name="Data Base" sheetId="8" r:id="rId3"/>
    <sheet name="Masterfile" sheetId="7" r:id="rId4"/>
    <sheet name="Chromsys" sheetId="10" r:id="rId5"/>
    <sheet name="FMS" sheetId="9" r:id="rId6"/>
    <sheet name="SM_Data" sheetId="11" r:id="rId7"/>
  </sheets>
  <definedNames>
    <definedName name="_xlnm.Print_Area" localSheetId="1">Report!$A$1:$J$45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7" i="3" l="1"/>
  <c r="C7" i="3" s="1"/>
  <c r="DS2" i="7" l="1"/>
  <c r="DM2" i="7"/>
  <c r="DU2" i="7"/>
  <c r="BY2" i="7"/>
  <c r="BX2" i="7"/>
  <c r="D2" i="10"/>
  <c r="D2" i="7" l="1"/>
  <c r="C2" i="7"/>
  <c r="AV2" i="7"/>
  <c r="F2" i="7"/>
  <c r="C17" i="5" l="1"/>
  <c r="C31" i="5"/>
  <c r="C32" i="5"/>
  <c r="C33" i="5"/>
  <c r="C34" i="5"/>
  <c r="C35" i="5"/>
  <c r="C36" i="5"/>
  <c r="C30" i="5"/>
  <c r="C28" i="5"/>
  <c r="C29" i="5"/>
  <c r="C27" i="5"/>
  <c r="C37" i="5" l="1"/>
  <c r="AY2" i="7" l="1"/>
  <c r="AU2" i="7"/>
  <c r="F26" i="3"/>
  <c r="M19" i="3" s="1"/>
  <c r="E26" i="3"/>
  <c r="AD2" i="8"/>
  <c r="M3" i="11"/>
  <c r="L3" i="11"/>
  <c r="K3" i="11"/>
  <c r="J3" i="11"/>
  <c r="I3" i="11"/>
  <c r="H3" i="11"/>
  <c r="G3" i="11"/>
  <c r="F3" i="11"/>
  <c r="E3" i="11"/>
  <c r="D3" i="11"/>
  <c r="C3" i="11" l="1"/>
  <c r="A3" i="11"/>
  <c r="AE3" i="11" a="1"/>
  <c r="D2" i="9"/>
  <c r="C2" i="9"/>
  <c r="B2" i="9"/>
  <c r="A2" i="9"/>
  <c r="AH2" i="10" l="1"/>
  <c r="BR2" i="10" l="1"/>
  <c r="BS2" i="10" l="1"/>
  <c r="AG2" i="10"/>
  <c r="AF2" i="10"/>
  <c r="AB2" i="10"/>
  <c r="B2" i="10" l="1"/>
  <c r="A2" i="10"/>
  <c r="AC2" i="8" l="1"/>
  <c r="AB2" i="8"/>
  <c r="AA2" i="8"/>
  <c r="C2" i="8"/>
  <c r="B2" i="8"/>
  <c r="A2" i="8"/>
  <c r="B20" i="3" l="1"/>
  <c r="AD3" i="11"/>
  <c r="C15" i="3" l="1"/>
  <c r="C8" i="3"/>
  <c r="C16" i="3"/>
  <c r="C17" i="3"/>
  <c r="C10" i="3"/>
  <c r="C18" i="3"/>
  <c r="C11" i="3"/>
  <c r="C19" i="3"/>
  <c r="C12" i="3"/>
  <c r="C13" i="3"/>
  <c r="C9" i="3"/>
  <c r="C14" i="3"/>
  <c r="D8" i="3"/>
  <c r="E8" i="3" s="1"/>
  <c r="AI2" i="10"/>
  <c r="P8" i="3" l="1"/>
  <c r="L8" i="3"/>
  <c r="Y8" i="3"/>
  <c r="J8" i="3"/>
  <c r="N8" i="3"/>
  <c r="AX2" i="7"/>
  <c r="A2" i="7" l="1"/>
  <c r="E2" i="7" l="1"/>
  <c r="L2" i="7" l="1"/>
  <c r="BB2" i="7"/>
  <c r="BA2" i="7"/>
  <c r="C26" i="3" l="1"/>
  <c r="L21" i="3" l="1"/>
  <c r="D19" i="3" l="1"/>
  <c r="D14" i="3"/>
  <c r="D13" i="3"/>
  <c r="D15" i="3"/>
  <c r="E32" i="5" s="1"/>
  <c r="D16" i="3"/>
  <c r="E33" i="5" s="1"/>
  <c r="D7" i="3"/>
  <c r="H26" i="3"/>
  <c r="X19" i="3" s="1"/>
  <c r="G26" i="3"/>
  <c r="K19" i="3"/>
  <c r="D26" i="3"/>
  <c r="V19" i="3" s="1"/>
  <c r="F19" i="3"/>
  <c r="E26" i="5" l="1"/>
  <c r="X3" i="11"/>
  <c r="P3" i="11"/>
  <c r="E30" i="5"/>
  <c r="Q3" i="11"/>
  <c r="E31" i="5"/>
  <c r="V3" i="11"/>
  <c r="E36" i="5"/>
  <c r="O2" i="9"/>
  <c r="S3" i="11"/>
  <c r="N2" i="9"/>
  <c r="R3" i="11"/>
  <c r="D2" i="8"/>
  <c r="J2" i="9"/>
  <c r="U2" i="10"/>
  <c r="G2" i="10"/>
  <c r="L2" i="9"/>
  <c r="H2" i="10"/>
  <c r="M2" i="9"/>
  <c r="M2" i="10"/>
  <c r="R2" i="9"/>
  <c r="K2" i="8"/>
  <c r="I2" i="10"/>
  <c r="L2" i="8"/>
  <c r="J2" i="10"/>
  <c r="C20" i="3"/>
  <c r="I19" i="3"/>
  <c r="T19" i="3"/>
  <c r="O19" i="3"/>
  <c r="D12" i="3"/>
  <c r="E28" i="5" s="1"/>
  <c r="E13" i="3"/>
  <c r="I2" i="8"/>
  <c r="E14" i="3"/>
  <c r="J2" i="8"/>
  <c r="E19" i="3"/>
  <c r="F2" i="8"/>
  <c r="E7" i="3"/>
  <c r="E16" i="3"/>
  <c r="L16" i="3" s="1"/>
  <c r="E15" i="3"/>
  <c r="AG2" i="7"/>
  <c r="AI2" i="7" s="1"/>
  <c r="P2" i="7"/>
  <c r="W2" i="7"/>
  <c r="D10" i="3"/>
  <c r="Y7" i="3" l="1"/>
  <c r="L7" i="3"/>
  <c r="Y15" i="3"/>
  <c r="L15" i="3"/>
  <c r="Y14" i="3"/>
  <c r="L14" i="3"/>
  <c r="Y13" i="3"/>
  <c r="L13" i="3"/>
  <c r="Y19" i="3"/>
  <c r="L19" i="3"/>
  <c r="N16" i="3"/>
  <c r="Y16" i="3"/>
  <c r="J13" i="3"/>
  <c r="N13" i="3"/>
  <c r="N15" i="3"/>
  <c r="J7" i="3"/>
  <c r="N7" i="3"/>
  <c r="J19" i="3"/>
  <c r="N19" i="3"/>
  <c r="J14" i="3"/>
  <c r="N14" i="3"/>
  <c r="H2" i="9"/>
  <c r="W3" i="11"/>
  <c r="H2" i="8"/>
  <c r="S2" i="10"/>
  <c r="M2" i="7"/>
  <c r="G13" i="3"/>
  <c r="E12" i="3"/>
  <c r="J15" i="3"/>
  <c r="J16" i="3"/>
  <c r="E10" i="3"/>
  <c r="P13" i="3"/>
  <c r="P7" i="3"/>
  <c r="R2" i="7"/>
  <c r="Q2" i="7"/>
  <c r="G16" i="3"/>
  <c r="S2" i="7"/>
  <c r="D18" i="3"/>
  <c r="D17" i="3"/>
  <c r="G15" i="3"/>
  <c r="D9" i="3"/>
  <c r="E34" i="5" l="1"/>
  <c r="T2" i="7"/>
  <c r="E35" i="5"/>
  <c r="U2" i="7"/>
  <c r="Y12" i="3"/>
  <c r="L12" i="3"/>
  <c r="Y10" i="3"/>
  <c r="L10" i="3"/>
  <c r="E27" i="5"/>
  <c r="J10" i="3"/>
  <c r="N10" i="3"/>
  <c r="J12" i="3"/>
  <c r="N12" i="3"/>
  <c r="Y3" i="11"/>
  <c r="Q2" i="9"/>
  <c r="U3" i="11"/>
  <c r="P2" i="9"/>
  <c r="T3" i="11"/>
  <c r="I2" i="9"/>
  <c r="K2" i="10"/>
  <c r="R2" i="10"/>
  <c r="L2" i="10"/>
  <c r="C21" i="3"/>
  <c r="D11" i="3" s="1"/>
  <c r="E29" i="5" s="1"/>
  <c r="N2" i="7"/>
  <c r="E2" i="8"/>
  <c r="M2" i="8"/>
  <c r="N2" i="8"/>
  <c r="E17" i="3"/>
  <c r="E9" i="3"/>
  <c r="E18" i="3"/>
  <c r="P15" i="3"/>
  <c r="P10" i="3"/>
  <c r="G14" i="3"/>
  <c r="P14" i="3"/>
  <c r="P16" i="3"/>
  <c r="G19" i="3"/>
  <c r="P19" i="3"/>
  <c r="R6" i="3"/>
  <c r="R8" i="3" s="1"/>
  <c r="S8" i="3" s="1"/>
  <c r="Y9" i="3" l="1"/>
  <c r="L9" i="3"/>
  <c r="Y18" i="3"/>
  <c r="L18" i="3"/>
  <c r="Y17" i="3"/>
  <c r="L17" i="3"/>
  <c r="D20" i="3"/>
  <c r="W8" i="3"/>
  <c r="U8" i="3"/>
  <c r="N9" i="3"/>
  <c r="G18" i="3"/>
  <c r="N18" i="3"/>
  <c r="N17" i="3"/>
  <c r="K2" i="9"/>
  <c r="O3" i="11"/>
  <c r="E37" i="5"/>
  <c r="F2" i="10"/>
  <c r="G2" i="8"/>
  <c r="O2" i="7"/>
  <c r="E11" i="3"/>
  <c r="R14" i="3"/>
  <c r="S14" i="3" s="1"/>
  <c r="R19" i="3"/>
  <c r="S19" i="3" s="1"/>
  <c r="R13" i="3"/>
  <c r="S13" i="3" s="1"/>
  <c r="R7" i="3"/>
  <c r="S7" i="3" s="1"/>
  <c r="R15" i="3"/>
  <c r="S15" i="3" s="1"/>
  <c r="R12" i="3"/>
  <c r="S12" i="3" s="1"/>
  <c r="R16" i="3"/>
  <c r="S16" i="3" s="1"/>
  <c r="R10" i="3"/>
  <c r="S10" i="3" s="1"/>
  <c r="P17" i="3"/>
  <c r="P18" i="3"/>
  <c r="J9" i="3"/>
  <c r="R9" i="3"/>
  <c r="S9" i="3" s="1"/>
  <c r="J17" i="3"/>
  <c r="R17" i="3"/>
  <c r="S17" i="3" s="1"/>
  <c r="J18" i="3"/>
  <c r="R18" i="3"/>
  <c r="S18" i="3" s="1"/>
  <c r="G17" i="3"/>
  <c r="W6" i="3"/>
  <c r="P9" i="3"/>
  <c r="U6" i="3"/>
  <c r="P12" i="3"/>
  <c r="Y11" i="3" l="1"/>
  <c r="L11" i="3"/>
  <c r="L20" i="3" s="1"/>
  <c r="O2" i="8" s="1"/>
  <c r="G20" i="3"/>
  <c r="P11" i="3"/>
  <c r="P20" i="3" s="1"/>
  <c r="L23" i="3" s="1"/>
  <c r="Y2" i="8" s="1"/>
  <c r="N11" i="3"/>
  <c r="N20" i="3" s="1"/>
  <c r="CS2" i="7" s="1"/>
  <c r="E20" i="3"/>
  <c r="J11" i="3"/>
  <c r="J20" i="3" s="1"/>
  <c r="U2" i="8" s="1"/>
  <c r="R11" i="3"/>
  <c r="S11" i="3" s="1"/>
  <c r="S20" i="3" s="1"/>
  <c r="Q2" i="8" s="1"/>
  <c r="W14" i="3"/>
  <c r="W10" i="3"/>
  <c r="W15" i="3"/>
  <c r="W18" i="3"/>
  <c r="U19" i="3"/>
  <c r="W19" i="3"/>
  <c r="W17" i="3"/>
  <c r="W9" i="3"/>
  <c r="W16" i="3"/>
  <c r="W12" i="3"/>
  <c r="W13" i="3"/>
  <c r="W7" i="3"/>
  <c r="U9" i="3"/>
  <c r="U7" i="3"/>
  <c r="U15" i="3"/>
  <c r="U18" i="3"/>
  <c r="U12" i="3"/>
  <c r="U17" i="3"/>
  <c r="U14" i="3"/>
  <c r="U13" i="3"/>
  <c r="U10" i="3"/>
  <c r="U16" i="3"/>
  <c r="L28" i="3" l="1"/>
  <c r="P2" i="8" s="1"/>
  <c r="Y20" i="3"/>
  <c r="DF2" i="7" s="1"/>
  <c r="R20" i="3"/>
  <c r="U11" i="3"/>
  <c r="U20" i="3" s="1"/>
  <c r="O23" i="3" s="1"/>
  <c r="W11" i="3"/>
  <c r="L27" i="3"/>
  <c r="H19" i="3"/>
  <c r="BT2" i="7" s="1"/>
  <c r="L29" i="3"/>
  <c r="H16" i="3"/>
  <c r="I33" i="5" s="1"/>
  <c r="H17" i="3"/>
  <c r="I34" i="5" s="1"/>
  <c r="H14" i="3"/>
  <c r="BO2" i="7" s="1"/>
  <c r="H18" i="3"/>
  <c r="I35" i="5" s="1"/>
  <c r="H15" i="3"/>
  <c r="I32" i="5" s="1"/>
  <c r="H13" i="3"/>
  <c r="Z3" i="11"/>
  <c r="A40" i="5"/>
  <c r="H40" i="5"/>
  <c r="E40" i="5"/>
  <c r="AC3" i="11" l="1"/>
  <c r="V2" i="8"/>
  <c r="I40" i="5"/>
  <c r="DD2" i="7"/>
  <c r="Z2" i="8"/>
  <c r="O28" i="3"/>
  <c r="Z18" i="3"/>
  <c r="AA18" i="3" s="1"/>
  <c r="G35" i="5" s="1"/>
  <c r="Z8" i="3"/>
  <c r="AA8" i="3" s="1"/>
  <c r="E41" i="5"/>
  <c r="AA2" i="10"/>
  <c r="AS2" i="7"/>
  <c r="AC2" i="10"/>
  <c r="Z13" i="3"/>
  <c r="AA13" i="3" s="1"/>
  <c r="G30" i="5" s="1"/>
  <c r="Z9" i="3"/>
  <c r="AA9" i="3" s="1"/>
  <c r="Z19" i="3"/>
  <c r="AA19" i="3" s="1"/>
  <c r="G36" i="5" s="1"/>
  <c r="Z14" i="3"/>
  <c r="AA14" i="3" s="1"/>
  <c r="G31" i="5" s="1"/>
  <c r="Z15" i="3"/>
  <c r="AA15" i="3" s="1"/>
  <c r="G32" i="5" s="1"/>
  <c r="Z10" i="3"/>
  <c r="AA10" i="3" s="1"/>
  <c r="Z16" i="3"/>
  <c r="AA16" i="3" s="1"/>
  <c r="G33" i="5" s="1"/>
  <c r="Z17" i="3"/>
  <c r="AA17" i="3" s="1"/>
  <c r="G34" i="5" s="1"/>
  <c r="Z7" i="3"/>
  <c r="AA7" i="3" s="1"/>
  <c r="G26" i="5" s="1"/>
  <c r="Z12" i="3"/>
  <c r="AA12" i="3" s="1"/>
  <c r="G28" i="5" s="1"/>
  <c r="Z11" i="3"/>
  <c r="W20" i="3"/>
  <c r="BN2" i="7"/>
  <c r="H20" i="3"/>
  <c r="B40" i="5"/>
  <c r="BR2" i="7"/>
  <c r="BP2" i="7"/>
  <c r="BQ2" i="7"/>
  <c r="BS2" i="7"/>
  <c r="I36" i="5"/>
  <c r="I31" i="5"/>
  <c r="I30" i="5"/>
  <c r="A41" i="5"/>
  <c r="L26" i="3" l="1"/>
  <c r="AT2" i="7" s="1"/>
  <c r="AQ2" i="7"/>
  <c r="AA3" i="11"/>
  <c r="BV2" i="7"/>
  <c r="R2" i="8"/>
  <c r="F40" i="5"/>
  <c r="CR2" i="7"/>
  <c r="W2" i="8"/>
  <c r="G27" i="5"/>
  <c r="AD2" i="10"/>
  <c r="F2" i="9"/>
  <c r="Z20" i="3"/>
  <c r="Z21" i="3" s="1"/>
  <c r="AA11" i="3" s="1"/>
  <c r="O27" i="3"/>
  <c r="X2" i="8" s="1"/>
  <c r="B41" i="5"/>
  <c r="H2" i="7"/>
  <c r="L24" i="3"/>
  <c r="L25" i="3"/>
  <c r="T2" i="8" s="1"/>
  <c r="I37" i="5"/>
  <c r="AB3" i="11" l="1"/>
  <c r="S2" i="8"/>
  <c r="AA20" i="3"/>
  <c r="G29" i="5"/>
  <c r="G37" i="5" s="1"/>
  <c r="I2" i="7"/>
  <c r="G2" i="9"/>
  <c r="F41" i="5"/>
  <c r="AE3" i="1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<sst xmlns="http://schemas.openxmlformats.org/spreadsheetml/2006/main" count="549" uniqueCount="393">
  <si>
    <t>Components</t>
  </si>
  <si>
    <t>N2</t>
  </si>
  <si>
    <t>CO2</t>
  </si>
  <si>
    <t>C1</t>
  </si>
  <si>
    <t>C2</t>
  </si>
  <si>
    <t>C3</t>
  </si>
  <si>
    <t>IC4</t>
  </si>
  <si>
    <t>NC4</t>
  </si>
  <si>
    <t>IC5</t>
  </si>
  <si>
    <t>NC5</t>
  </si>
  <si>
    <t>C6+</t>
  </si>
  <si>
    <t>Total</t>
  </si>
  <si>
    <t>Mole %</t>
  </si>
  <si>
    <t>Factor</t>
  </si>
  <si>
    <t xml:space="preserve">Actual </t>
  </si>
  <si>
    <t>Normalized</t>
  </si>
  <si>
    <t>Mole</t>
  </si>
  <si>
    <t>Fraction</t>
  </si>
  <si>
    <t>GPA-2145</t>
  </si>
  <si>
    <t>Ideal</t>
  </si>
  <si>
    <t>Cu.Ft./Gal</t>
  </si>
  <si>
    <t>Liquid</t>
  </si>
  <si>
    <t>Sample</t>
  </si>
  <si>
    <t>GPM</t>
  </si>
  <si>
    <t>Relative</t>
  </si>
  <si>
    <t>Density</t>
  </si>
  <si>
    <t>Btu/Cu.Ft.</t>
  </si>
  <si>
    <t>Dry</t>
  </si>
  <si>
    <t>Sum</t>
  </si>
  <si>
    <t>Real C2+ GPM =</t>
  </si>
  <si>
    <t xml:space="preserve">Real Density = </t>
  </si>
  <si>
    <t>Wet Mole</t>
  </si>
  <si>
    <t>Wet</t>
  </si>
  <si>
    <r>
      <rPr>
        <i/>
        <sz val="11"/>
        <color theme="1"/>
        <rFont val="Calibri"/>
        <family val="2"/>
        <scheme val="minor"/>
      </rPr>
      <t>Dry</t>
    </r>
    <r>
      <rPr>
        <sz val="11"/>
        <color theme="1"/>
        <rFont val="Calibri"/>
        <family val="2"/>
        <scheme val="minor"/>
      </rPr>
      <t xml:space="preserve"> Z = </t>
    </r>
  </si>
  <si>
    <r>
      <rPr>
        <i/>
        <sz val="11"/>
        <color theme="1"/>
        <rFont val="Calibri"/>
        <family val="2"/>
        <scheme val="minor"/>
      </rPr>
      <t>Dry</t>
    </r>
    <r>
      <rPr>
        <sz val="11"/>
        <color theme="1"/>
        <rFont val="Calibri"/>
        <family val="2"/>
        <scheme val="minor"/>
      </rPr>
      <t xml:space="preserve"> Real Btu/Cu.Ft. = </t>
    </r>
  </si>
  <si>
    <r>
      <rPr>
        <i/>
        <sz val="11"/>
        <color theme="1"/>
        <rFont val="Calibri"/>
        <family val="2"/>
        <scheme val="minor"/>
      </rPr>
      <t>Wet</t>
    </r>
    <r>
      <rPr>
        <sz val="11"/>
        <color theme="1"/>
        <rFont val="Calibri"/>
        <family val="2"/>
        <scheme val="minor"/>
      </rPr>
      <t xml:space="preserve"> Z =</t>
    </r>
  </si>
  <si>
    <r>
      <rPr>
        <i/>
        <sz val="11"/>
        <color theme="1"/>
        <rFont val="Calibri"/>
        <family val="2"/>
        <scheme val="minor"/>
      </rPr>
      <t>Wet</t>
    </r>
    <r>
      <rPr>
        <sz val="11"/>
        <color theme="1"/>
        <rFont val="Calibri"/>
        <family val="2"/>
        <scheme val="minor"/>
      </rPr>
      <t xml:space="preserve"> Real But/Cu.Ft. = </t>
    </r>
  </si>
  <si>
    <t>H2O</t>
  </si>
  <si>
    <t>H2S</t>
  </si>
  <si>
    <t xml:space="preserve">Pressure Base = </t>
  </si>
  <si>
    <t>psia</t>
  </si>
  <si>
    <t>Helium</t>
  </si>
  <si>
    <t>He</t>
  </si>
  <si>
    <t>Nitrogen</t>
  </si>
  <si>
    <t>Methane</t>
  </si>
  <si>
    <t>Ethane</t>
  </si>
  <si>
    <t>Propane</t>
  </si>
  <si>
    <t>N-Butane</t>
  </si>
  <si>
    <t>N-Pentane</t>
  </si>
  <si>
    <t>Iso-Pentane</t>
  </si>
  <si>
    <t>Sample Pressure</t>
  </si>
  <si>
    <t>Wt %</t>
  </si>
  <si>
    <t>Midland, TX 79706</t>
  </si>
  <si>
    <t>432-686-2719</t>
  </si>
  <si>
    <t>www.nattygaslab.com</t>
  </si>
  <si>
    <t>Gas Analysis Report</t>
  </si>
  <si>
    <t>Analysis #</t>
  </si>
  <si>
    <t>Method</t>
  </si>
  <si>
    <t>Customer Information</t>
  </si>
  <si>
    <t>Sample Information</t>
  </si>
  <si>
    <t>Producer:</t>
  </si>
  <si>
    <t>Well/Lease:</t>
  </si>
  <si>
    <t xml:space="preserve">Sampled By: </t>
  </si>
  <si>
    <t>Sample Pressure:</t>
  </si>
  <si>
    <t>Sample Method:</t>
  </si>
  <si>
    <t>Cylinder #</t>
  </si>
  <si>
    <t>Component</t>
  </si>
  <si>
    <t>Carbon Dioxide</t>
  </si>
  <si>
    <t>Hexanes Plus</t>
  </si>
  <si>
    <t>Analyzed On</t>
  </si>
  <si>
    <t xml:space="preserve">Analyzed By </t>
  </si>
  <si>
    <t>Real</t>
  </si>
  <si>
    <t>Specific Gravity (air=1.000)</t>
  </si>
  <si>
    <t>Compressibility Factor (Z)</t>
  </si>
  <si>
    <t>Real C3+ GPM=</t>
  </si>
  <si>
    <t>Molecular</t>
  </si>
  <si>
    <t>Weight</t>
  </si>
  <si>
    <t>Weight %</t>
  </si>
  <si>
    <t>_____________________________________</t>
  </si>
  <si>
    <t>O2</t>
  </si>
  <si>
    <t>N-Hexane</t>
  </si>
  <si>
    <t>N-Heptane</t>
  </si>
  <si>
    <t>N-Octane</t>
  </si>
  <si>
    <t>%</t>
  </si>
  <si>
    <t>Relative Density</t>
  </si>
  <si>
    <t>Molar</t>
  </si>
  <si>
    <t>Mass</t>
  </si>
  <si>
    <t>Oxygen</t>
  </si>
  <si>
    <t>Z (air) =</t>
  </si>
  <si>
    <t>Field H2S:</t>
  </si>
  <si>
    <r>
      <t xml:space="preserve">C6+ </t>
    </r>
    <r>
      <rPr>
        <i/>
        <sz val="11"/>
        <color theme="1"/>
        <rFont val="Calibri"/>
        <family val="2"/>
        <scheme val="minor"/>
      </rPr>
      <t>Dry</t>
    </r>
    <r>
      <rPr>
        <sz val="11"/>
        <color theme="1"/>
        <rFont val="Calibri"/>
        <family val="2"/>
        <scheme val="minor"/>
      </rPr>
      <t xml:space="preserve"> Real BTU/Cu.Ft =</t>
    </r>
  </si>
  <si>
    <r>
      <rPr>
        <i/>
        <sz val="11"/>
        <color theme="1"/>
        <rFont val="Calibri"/>
        <family val="2"/>
        <scheme val="minor"/>
      </rPr>
      <t>Wet</t>
    </r>
    <r>
      <rPr>
        <sz val="11"/>
        <color theme="1"/>
        <rFont val="Calibri"/>
        <family val="2"/>
        <scheme val="minor"/>
      </rPr>
      <t>Real Density =</t>
    </r>
  </si>
  <si>
    <t>GQ Source Number</t>
  </si>
  <si>
    <t>Column Type</t>
  </si>
  <si>
    <t>From</t>
  </si>
  <si>
    <t>To</t>
  </si>
  <si>
    <t>Sample Date</t>
  </si>
  <si>
    <t>Sample Type</t>
  </si>
  <si>
    <t>BTU Base</t>
  </si>
  <si>
    <t>Heating Value</t>
  </si>
  <si>
    <t>Viscosity</t>
  </si>
  <si>
    <t>Specific Heat Ratio</t>
  </si>
  <si>
    <t>HV Pressure Base</t>
  </si>
  <si>
    <t>Iso Butane</t>
  </si>
  <si>
    <t>N Butane</t>
  </si>
  <si>
    <t>Iso Pentane</t>
  </si>
  <si>
    <t>N Pentane</t>
  </si>
  <si>
    <t>Neo Pentane</t>
  </si>
  <si>
    <t>Hexane</t>
  </si>
  <si>
    <t>Heptane</t>
  </si>
  <si>
    <t>Octane</t>
  </si>
  <si>
    <t>Nonane</t>
  </si>
  <si>
    <t>Decane</t>
  </si>
  <si>
    <t>Argon</t>
  </si>
  <si>
    <t>Carbon Monoxide</t>
  </si>
  <si>
    <t>Hydrogen</t>
  </si>
  <si>
    <t>Water Vapor</t>
  </si>
  <si>
    <t>Hydrogen Sulfide</t>
  </si>
  <si>
    <t>Hydrogen Sulfide PPM</t>
  </si>
  <si>
    <t>Carbon Sulfoxide PPM</t>
  </si>
  <si>
    <t>Methyl Mercaptan PPM</t>
  </si>
  <si>
    <t>Ethyl Mercaptan PPM</t>
  </si>
  <si>
    <t>Dimethyl Sulfide PPM</t>
  </si>
  <si>
    <t>Methyl Sulfide PPM</t>
  </si>
  <si>
    <t>Total Sulfur PPM</t>
  </si>
  <si>
    <t>Displayed in FlowCal</t>
  </si>
  <si>
    <t>Sample Count</t>
  </si>
  <si>
    <t>Heating Value Dry</t>
  </si>
  <si>
    <t>Condensate GPM</t>
  </si>
  <si>
    <t>Hexane Plus Heating Value</t>
  </si>
  <si>
    <t>Field Remarks</t>
  </si>
  <si>
    <t>Office Remarks</t>
  </si>
  <si>
    <t>Sample Technician</t>
  </si>
  <si>
    <t>Analysis Technician</t>
  </si>
  <si>
    <t>Instrument Number</t>
  </si>
  <si>
    <t>Sample Temperature</t>
  </si>
  <si>
    <t>User defined number 1</t>
  </si>
  <si>
    <t>User defined number 2</t>
  </si>
  <si>
    <t>User defined number 3</t>
  </si>
  <si>
    <t>User defined number 4</t>
  </si>
  <si>
    <t>User defined number 5</t>
  </si>
  <si>
    <t>User defined string 1</t>
  </si>
  <si>
    <t>User defined string 2</t>
  </si>
  <si>
    <t>User defined string 3</t>
  </si>
  <si>
    <t>User defined string 4</t>
  </si>
  <si>
    <t>User defined string 5</t>
  </si>
  <si>
    <t>Full Well Stream Factor</t>
  </si>
  <si>
    <t>Ethane GPM</t>
  </si>
  <si>
    <t>Propane GPM</t>
  </si>
  <si>
    <t>Iso Butane GPM</t>
  </si>
  <si>
    <t>N Butane GPM</t>
  </si>
  <si>
    <t>Iso Pentane GPM</t>
  </si>
  <si>
    <t>N Pentane GPM</t>
  </si>
  <si>
    <t>Hexane GPM</t>
  </si>
  <si>
    <t>Heptane GPM</t>
  </si>
  <si>
    <t>A</t>
  </si>
  <si>
    <t>W</t>
  </si>
  <si>
    <t>Real C5+ GPM=</t>
  </si>
  <si>
    <t>F</t>
  </si>
  <si>
    <t>Remarks:</t>
  </si>
  <si>
    <t xml:space="preserve">Jared Goldsmith </t>
  </si>
  <si>
    <t>Flow Rate:</t>
  </si>
  <si>
    <t>MCFD</t>
  </si>
  <si>
    <t>Well Name</t>
  </si>
  <si>
    <t>Station #</t>
  </si>
  <si>
    <t>Date Sampled</t>
  </si>
  <si>
    <t>BTU (Dry/Ideal)</t>
  </si>
  <si>
    <t>BTU (Dry/Real)</t>
  </si>
  <si>
    <t>BTU (Wet/Ideal)</t>
  </si>
  <si>
    <t>BTU(Wet/Real)</t>
  </si>
  <si>
    <t>Flow Rate</t>
  </si>
  <si>
    <t>Pressure</t>
  </si>
  <si>
    <t>Temperature</t>
  </si>
  <si>
    <t>SG (Dry Ideal)</t>
  </si>
  <si>
    <t>SG (Dry Real)</t>
  </si>
  <si>
    <t>SG (Wet Ideal)</t>
  </si>
  <si>
    <t>SG (Wet Real)</t>
  </si>
  <si>
    <t>Compressibility (Dry)</t>
  </si>
  <si>
    <t>Compressibility (Wet)</t>
  </si>
  <si>
    <t>GPM (Dry Real C2+)</t>
  </si>
  <si>
    <t>GPM (Dry Real C3+)</t>
  </si>
  <si>
    <t>n-Hexane content</t>
  </si>
  <si>
    <t>N</t>
  </si>
  <si>
    <t>Physical Constants per GPA 2145-16</t>
  </si>
  <si>
    <t>.</t>
  </si>
  <si>
    <t xml:space="preserve">           </t>
  </si>
  <si>
    <t>Meter #</t>
  </si>
  <si>
    <t>Effective Date</t>
  </si>
  <si>
    <t>Sample ID</t>
  </si>
  <si>
    <t xml:space="preserve">Ethane </t>
  </si>
  <si>
    <t>I-Butane</t>
  </si>
  <si>
    <t>I-Pentane</t>
  </si>
  <si>
    <t>CO</t>
  </si>
  <si>
    <t>Gravity</t>
  </si>
  <si>
    <t>Pressure Base</t>
  </si>
  <si>
    <t>Dry Heating Value</t>
  </si>
  <si>
    <t>Saturated Heating Value</t>
  </si>
  <si>
    <t>As Delivered Heating Value</t>
  </si>
  <si>
    <t>Onsite H2S</t>
  </si>
  <si>
    <t>Heating Value Wet</t>
  </si>
  <si>
    <t>Relative Density (specific gravity)</t>
  </si>
  <si>
    <t>Carbon Dioxide (co2)</t>
  </si>
  <si>
    <t>Nitrogen (n2)</t>
  </si>
  <si>
    <t>Methane (c1)</t>
  </si>
  <si>
    <t>Ethane (c2)</t>
  </si>
  <si>
    <t>Propane (c3)</t>
  </si>
  <si>
    <t>Iso Butane (iso_c4)</t>
  </si>
  <si>
    <t>N Butane (n_c4)</t>
  </si>
  <si>
    <t>Iso Pentane (iso_c5)</t>
  </si>
  <si>
    <t>N Pentane (n_c5)</t>
  </si>
  <si>
    <t>Hexane (c6)</t>
  </si>
  <si>
    <t>Iso-Butane</t>
  </si>
  <si>
    <t>SampleID</t>
  </si>
  <si>
    <t>Analysis_Type</t>
  </si>
  <si>
    <t>Client_ID</t>
  </si>
  <si>
    <t>Laboratory_Number</t>
  </si>
  <si>
    <t>Operator_Name</t>
  </si>
  <si>
    <t>Well_Name</t>
  </si>
  <si>
    <t>Initials_of_Sampler</t>
  </si>
  <si>
    <t>Container_Identity</t>
  </si>
  <si>
    <t>Date_Sampled_Start</t>
  </si>
  <si>
    <t>Date_Reported</t>
  </si>
  <si>
    <t>Gauge_Pressure_Source</t>
  </si>
  <si>
    <t>Temperature_Source</t>
  </si>
  <si>
    <t>Base_Pressure</t>
  </si>
  <si>
    <t>Base_Temperature</t>
  </si>
  <si>
    <t>Methane (C1)_Mole%</t>
  </si>
  <si>
    <t>Ethane (C2)_Mole%</t>
  </si>
  <si>
    <t>Propane (C3)_Mole%</t>
  </si>
  <si>
    <t>Isobutane (iC4)_Mole%</t>
  </si>
  <si>
    <t>n-Butane (nC4)_Mole%</t>
  </si>
  <si>
    <t>Isopentane (iC5)_Mole%</t>
  </si>
  <si>
    <t>n-Pentane (nC5)_Mole%</t>
  </si>
  <si>
    <t>Hexanes Plus (C6+)_Mole%</t>
  </si>
  <si>
    <t>Carbon Dioxide (CO2)_Mole%</t>
  </si>
  <si>
    <t>Hydrogen Sulfide (H2S)_Mole%</t>
  </si>
  <si>
    <t>Nitrogen (N2)_Mole%</t>
  </si>
  <si>
    <t>Heating Value_Dry</t>
  </si>
  <si>
    <t>Heating Value (Saturated)_Stock Tank Gas</t>
  </si>
  <si>
    <t>Total_Dry</t>
  </si>
  <si>
    <t>Specific Gravity Total Dry</t>
  </si>
  <si>
    <t>Hydrogen Sulfide (H2S)_Onsite</t>
  </si>
  <si>
    <t>File_Name</t>
  </si>
  <si>
    <t>psig</t>
  </si>
  <si>
    <t>mole%</t>
  </si>
  <si>
    <t>BTU/CF</t>
  </si>
  <si>
    <t>N/A</t>
  </si>
  <si>
    <t>ppm (mole)</t>
  </si>
  <si>
    <t>USGAS</t>
  </si>
  <si>
    <t>Cylinder</t>
  </si>
  <si>
    <t>10700 FM 307</t>
  </si>
  <si>
    <t xml:space="preserve">Meter #: </t>
  </si>
  <si>
    <t>Gross</t>
  </si>
  <si>
    <t>Net</t>
  </si>
  <si>
    <t>Net Ideal</t>
  </si>
  <si>
    <t>H2S*</t>
  </si>
  <si>
    <t>*Field H2S rounded to nearest whole ppm</t>
  </si>
  <si>
    <t>Total Un-Normalized Mole%</t>
  </si>
  <si>
    <t>Un-norm Mol %</t>
  </si>
  <si>
    <t>Norm Mol %</t>
  </si>
  <si>
    <t>Hexanes + Split</t>
  </si>
  <si>
    <t>Instrument:</t>
  </si>
  <si>
    <t>Last Inst Verification:</t>
  </si>
  <si>
    <t>Inficon 1 GC</t>
  </si>
  <si>
    <t xml:space="preserve">Heating Method: </t>
  </si>
  <si>
    <t>1201 S. 3rd St</t>
  </si>
  <si>
    <t>Jal, NM 88252</t>
  </si>
  <si>
    <t>Sample Temp:</t>
  </si>
  <si>
    <t xml:space="preserve">Ambient Temp: </t>
  </si>
  <si>
    <t>Attn: Brandon Jordan</t>
  </si>
  <si>
    <t>60/30/10 (C6/C7/C8)</t>
  </si>
  <si>
    <t xml:space="preserve">Effective Start Date: </t>
  </si>
  <si>
    <t>EOG Resources</t>
  </si>
  <si>
    <t>Oven &amp; Heat Trace</t>
  </si>
  <si>
    <t>End Date:</t>
  </si>
  <si>
    <t>Type:</t>
  </si>
  <si>
    <t>Purge &amp; Fill</t>
  </si>
  <si>
    <t>Wet = water saturated gas at base conditions</t>
  </si>
  <si>
    <t>PPM</t>
  </si>
  <si>
    <t>Heating Value As Delivered</t>
  </si>
  <si>
    <t>Analysis Date</t>
  </si>
  <si>
    <t>Cylinder Number</t>
  </si>
  <si>
    <t>Record Status</t>
  </si>
  <si>
    <t>Sample Pressure Gauge</t>
  </si>
  <si>
    <t>Atmospheric Pressure</t>
  </si>
  <si>
    <t>Octane GPM (c8_gpm)</t>
  </si>
  <si>
    <t>Nonane GPM (c9_gpm)</t>
  </si>
  <si>
    <t>Decane GPM (c10_gpm</t>
  </si>
  <si>
    <t>26 PSI Gasoline</t>
  </si>
  <si>
    <t>Total Mole Percent (total_vol_pct)</t>
  </si>
  <si>
    <t>Total Un-Normalized (total_vol_pct_unnormalized)</t>
  </si>
  <si>
    <t>Mass Heating Value</t>
  </si>
  <si>
    <t>Wobbe Index - Net</t>
  </si>
  <si>
    <t>Wobbe Index - Gross</t>
  </si>
  <si>
    <t>Hydrocarbon Dewpoint</t>
  </si>
  <si>
    <t>Field HCDP</t>
  </si>
  <si>
    <t>Cricondentherm</t>
  </si>
  <si>
    <t>Ideal, Gross HV - Dry</t>
  </si>
  <si>
    <t>Ideal, Gross HV - Wet</t>
  </si>
  <si>
    <t>Ideal, Gross HV - As Delivered</t>
  </si>
  <si>
    <t>Ideal Specific Gravity</t>
  </si>
  <si>
    <t>Real, Net HV - Dry</t>
  </si>
  <si>
    <t>Real, Net HV - Wet</t>
  </si>
  <si>
    <t>Real, Net HV As Delivered</t>
  </si>
  <si>
    <t>Temperature Base</t>
  </si>
  <si>
    <t>Water Dewpoint</t>
  </si>
  <si>
    <t>Total Mass Percent</t>
  </si>
  <si>
    <t>User defined number 6</t>
  </si>
  <si>
    <t>Has Extended Analysis</t>
  </si>
  <si>
    <t>Analysis Type</t>
  </si>
  <si>
    <t>Free Water</t>
  </si>
  <si>
    <t>Condensate</t>
  </si>
  <si>
    <t>Compressibility Base</t>
  </si>
  <si>
    <t>Compressibility Sample</t>
  </si>
  <si>
    <t>Molecular Weight</t>
  </si>
  <si>
    <t>Absolute Density</t>
  </si>
  <si>
    <t>Density Relative to H2O</t>
  </si>
  <si>
    <t>API Gravity</t>
  </si>
  <si>
    <t>Gas/Liquid Volume Ratio</t>
  </si>
  <si>
    <t>Mole, Weight or Liquid Volume Percent</t>
  </si>
  <si>
    <t>Product Code</t>
  </si>
  <si>
    <t>Ethylene</t>
  </si>
  <si>
    <t>Propylene</t>
  </si>
  <si>
    <t>Butylenes</t>
  </si>
  <si>
    <t>Base Density Calculation Method</t>
  </si>
  <si>
    <t>Set Density By Range</t>
  </si>
  <si>
    <t>Analysis Certificate Number</t>
  </si>
  <si>
    <t>Absolute Density (liquid, in air)</t>
  </si>
  <si>
    <t>Sample Calculation Method</t>
  </si>
  <si>
    <t>Vapor Pressure for Sample</t>
  </si>
  <si>
    <t>Density Offset</t>
  </si>
  <si>
    <t>EVP at 100F</t>
  </si>
  <si>
    <t>Mass C1</t>
  </si>
  <si>
    <t>Mass C2</t>
  </si>
  <si>
    <t>Mass C3</t>
  </si>
  <si>
    <t>Mass IsoC4</t>
  </si>
  <si>
    <t>Mass NC4</t>
  </si>
  <si>
    <t>Mass IsoC5</t>
  </si>
  <si>
    <t>Mass NC5</t>
  </si>
  <si>
    <t>Mass NeoC5</t>
  </si>
  <si>
    <t>Mass C6</t>
  </si>
  <si>
    <t>Mass C7</t>
  </si>
  <si>
    <t>Mass C8</t>
  </si>
  <si>
    <t>Mass C9</t>
  </si>
  <si>
    <t>Mass C10</t>
  </si>
  <si>
    <t>Mass CO2</t>
  </si>
  <si>
    <t>Mass N2</t>
  </si>
  <si>
    <t>Mass CO</t>
  </si>
  <si>
    <t>Mass O2</t>
  </si>
  <si>
    <t>Mass He</t>
  </si>
  <si>
    <t>Mass Ar</t>
  </si>
  <si>
    <t>Mass H2O</t>
  </si>
  <si>
    <t>Mass H2S</t>
  </si>
  <si>
    <t>Mass H2</t>
  </si>
  <si>
    <t>Mass C2H4</t>
  </si>
  <si>
    <t>Mass C3H6</t>
  </si>
  <si>
    <t>Mass C4H8</t>
  </si>
  <si>
    <t>Liquid C1</t>
  </si>
  <si>
    <t>Liquid C2</t>
  </si>
  <si>
    <t>Liquid C3</t>
  </si>
  <si>
    <t>Liquid IsoC4</t>
  </si>
  <si>
    <t>Liquid NC4</t>
  </si>
  <si>
    <t>Liquid IsoC5</t>
  </si>
  <si>
    <t>Liquid NC5</t>
  </si>
  <si>
    <t>Liquid NeoC5</t>
  </si>
  <si>
    <t>Liquid C6</t>
  </si>
  <si>
    <t>Liquid C7</t>
  </si>
  <si>
    <t>Liquid C8</t>
  </si>
  <si>
    <t>Liquid C9</t>
  </si>
  <si>
    <t>Liquid C10</t>
  </si>
  <si>
    <t>Liquid CO2</t>
  </si>
  <si>
    <t>Liquid N2</t>
  </si>
  <si>
    <t>Liquid CO</t>
  </si>
  <si>
    <t>Liquid O2</t>
  </si>
  <si>
    <t>Liquid He</t>
  </si>
  <si>
    <t>Liquid Ar</t>
  </si>
  <si>
    <t>Liquid H2O</t>
  </si>
  <si>
    <t>Liquid H2S</t>
  </si>
  <si>
    <t>Liquid H2</t>
  </si>
  <si>
    <t>Liquid C2H4</t>
  </si>
  <si>
    <t>Liquid C3H6</t>
  </si>
  <si>
    <t>Liquid C4H8</t>
  </si>
  <si>
    <t>Aromatics</t>
  </si>
  <si>
    <t>Mass Aromatics</t>
  </si>
  <si>
    <t>Liquid Aromatics</t>
  </si>
  <si>
    <t>SW%</t>
  </si>
  <si>
    <t>CSW</t>
  </si>
  <si>
    <t>G</t>
  </si>
  <si>
    <t>M</t>
  </si>
  <si>
    <t>Total GPM Content</t>
  </si>
  <si>
    <r>
      <t>Base Condition: 14.65 psia and 60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 xml:space="preserve"> F</t>
    </r>
  </si>
  <si>
    <r>
      <t>Gross Heating Value (BTU/ft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 xml:space="preserve"> )</t>
    </r>
  </si>
  <si>
    <t>Sample Date/Time: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</si>
</sst>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.0"/>
    <numFmt numFmtId="165" formatCode="0.000"/>
    <numFmt numFmtId="166" formatCode="0.00000"/>
    <numFmt numFmtId="167" formatCode="0.0000"/>
    <numFmt numFmtId="168" formatCode="0.000000"/>
    <numFmt numFmtId="169" formatCode="m/d/yy\ h:mm;@"/>
  </numFmts>
  <fonts count="1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2"/>
      <color rgb="FF0070C0"/>
      <name val="Calibri"/>
      <family val="2"/>
      <scheme val="minor"/>
    </font>
    <font>
      <sz val="28"/>
      <color rgb="FF0070C0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theme="9" tint="-0.249977111117893"/>
      <name val="Calibri"/>
      <family val="2"/>
      <scheme val="minor"/>
    </font>
    <font>
      <sz val="10"/>
      <color indexed="8"/>
      <name val="Arial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4" fillId="0" borderId="0"/>
  </cellStyleXfs>
  <cellXfs count="102">
    <xf numFmtId="0" fontId="0" fillId="0" borderId="0" xfId="0"/>
    <xf numFmtId="0" fontId="2" fillId="0" borderId="0" xfId="0" applyFont="1"/>
    <xf numFmtId="165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6" fontId="0" fillId="0" borderId="0" xfId="0" applyNumberFormat="1"/>
    <xf numFmtId="165" fontId="2" fillId="0" borderId="0" xfId="0" applyNumberFormat="1" applyFont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165" fontId="2" fillId="0" borderId="1" xfId="0" applyNumberFormat="1" applyFont="1" applyBorder="1" applyAlignment="1">
      <alignment horizontal="right"/>
    </xf>
    <xf numFmtId="0" fontId="4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/>
    <xf numFmtId="166" fontId="1" fillId="0" borderId="0" xfId="0" applyNumberFormat="1" applyFont="1"/>
    <xf numFmtId="164" fontId="1" fillId="0" borderId="0" xfId="0" applyNumberFormat="1" applyFont="1"/>
    <xf numFmtId="166" fontId="2" fillId="0" borderId="0" xfId="0" applyNumberFormat="1" applyFont="1"/>
    <xf numFmtId="0" fontId="0" fillId="2" borderId="0" xfId="0" applyFill="1"/>
    <xf numFmtId="0" fontId="0" fillId="2" borderId="0" xfId="0" applyFill="1" applyAlignment="1">
      <alignment horizontal="right"/>
    </xf>
    <xf numFmtId="167" fontId="0" fillId="2" borderId="0" xfId="0" applyNumberFormat="1" applyFill="1"/>
    <xf numFmtId="0" fontId="6" fillId="0" borderId="0" xfId="0" applyFont="1" applyAlignment="1">
      <alignment horizontal="right"/>
    </xf>
    <xf numFmtId="0" fontId="8" fillId="2" borderId="0" xfId="0" applyFont="1" applyFill="1"/>
    <xf numFmtId="0" fontId="6" fillId="2" borderId="0" xfId="0" applyFont="1" applyFill="1"/>
    <xf numFmtId="0" fontId="7" fillId="2" borderId="0" xfId="0" applyFont="1" applyFill="1"/>
    <xf numFmtId="0" fontId="0" fillId="2" borderId="0" xfId="0" applyFill="1" applyAlignment="1">
      <alignment horizontal="left"/>
    </xf>
    <xf numFmtId="0" fontId="9" fillId="2" borderId="0" xfId="0" applyFont="1" applyFill="1"/>
    <xf numFmtId="0" fontId="2" fillId="2" borderId="0" xfId="0" applyFont="1" applyFill="1"/>
    <xf numFmtId="0" fontId="10" fillId="2" borderId="0" xfId="0" applyFont="1" applyFill="1"/>
    <xf numFmtId="0" fontId="10" fillId="2" borderId="0" xfId="0" applyFont="1" applyFill="1" applyAlignment="1">
      <alignment horizontal="right"/>
    </xf>
    <xf numFmtId="165" fontId="2" fillId="2" borderId="0" xfId="0" applyNumberFormat="1" applyFont="1" applyFill="1" applyAlignment="1">
      <alignment horizontal="right"/>
    </xf>
    <xf numFmtId="165" fontId="0" fillId="2" borderId="0" xfId="0" applyNumberFormat="1" applyFill="1" applyAlignment="1">
      <alignment horizontal="right"/>
    </xf>
    <xf numFmtId="0" fontId="10" fillId="2" borderId="0" xfId="0" applyFont="1" applyFill="1" applyAlignment="1">
      <alignment horizontal="center"/>
    </xf>
    <xf numFmtId="14" fontId="0" fillId="2" borderId="0" xfId="0" applyNumberFormat="1" applyFill="1"/>
    <xf numFmtId="0" fontId="0" fillId="2" borderId="0" xfId="0" applyFill="1" applyAlignment="1">
      <alignment horizontal="center"/>
    </xf>
    <xf numFmtId="167" fontId="1" fillId="0" borderId="0" xfId="0" applyNumberFormat="1" applyFont="1"/>
    <xf numFmtId="167" fontId="0" fillId="2" borderId="0" xfId="0" applyNumberFormat="1" applyFill="1" applyAlignment="1">
      <alignment horizontal="center"/>
    </xf>
    <xf numFmtId="2" fontId="0" fillId="0" borderId="0" xfId="0" applyNumberFormat="1"/>
    <xf numFmtId="164" fontId="2" fillId="0" borderId="0" xfId="0" applyNumberFormat="1" applyFont="1"/>
    <xf numFmtId="0" fontId="0" fillId="0" borderId="0" xfId="0" applyAlignment="1">
      <alignment horizontal="left"/>
    </xf>
    <xf numFmtId="167" fontId="6" fillId="0" borderId="0" xfId="0" applyNumberFormat="1" applyFont="1"/>
    <xf numFmtId="166" fontId="6" fillId="0" borderId="0" xfId="0" applyNumberFormat="1" applyFont="1"/>
    <xf numFmtId="0" fontId="6" fillId="0" borderId="0" xfId="0" applyFont="1"/>
    <xf numFmtId="0" fontId="1" fillId="0" borderId="0" xfId="0" applyFont="1" applyAlignment="1">
      <alignment horizontal="right"/>
    </xf>
    <xf numFmtId="164" fontId="6" fillId="0" borderId="0" xfId="0" applyNumberFormat="1" applyFont="1"/>
    <xf numFmtId="164" fontId="1" fillId="0" borderId="0" xfId="0" applyNumberFormat="1" applyFont="1" applyAlignment="1">
      <alignment horizontal="right"/>
    </xf>
    <xf numFmtId="166" fontId="1" fillId="0" borderId="0" xfId="0" applyNumberFormat="1" applyFont="1" applyAlignment="1">
      <alignment horizontal="right"/>
    </xf>
    <xf numFmtId="165" fontId="1" fillId="0" borderId="0" xfId="0" applyNumberFormat="1" applyFont="1"/>
    <xf numFmtId="0" fontId="1" fillId="0" borderId="0" xfId="0" applyFont="1" applyAlignment="1">
      <alignment horizontal="center"/>
    </xf>
    <xf numFmtId="165" fontId="0" fillId="0" borderId="1" xfId="0" applyNumberFormat="1" applyBorder="1" applyProtection="1">
      <protection locked="0"/>
    </xf>
    <xf numFmtId="165" fontId="0" fillId="0" borderId="1" xfId="0" applyNumberFormat="1" applyBorder="1" applyAlignment="1" applyProtection="1">
      <alignment horizontal="right"/>
      <protection locked="0"/>
    </xf>
    <xf numFmtId="0" fontId="12" fillId="0" borderId="0" xfId="0" applyFont="1" applyAlignment="1">
      <alignment horizontal="center" wrapText="1"/>
    </xf>
    <xf numFmtId="14" fontId="0" fillId="0" borderId="0" xfId="0" applyNumberFormat="1"/>
    <xf numFmtId="11" fontId="0" fillId="0" borderId="0" xfId="0" applyNumberFormat="1"/>
    <xf numFmtId="167" fontId="0" fillId="0" borderId="0" xfId="0" applyNumberFormat="1"/>
    <xf numFmtId="164" fontId="0" fillId="0" borderId="0" xfId="0" applyNumberFormat="1"/>
    <xf numFmtId="167" fontId="2" fillId="0" borderId="1" xfId="0" applyNumberFormat="1" applyFont="1" applyBorder="1"/>
    <xf numFmtId="167" fontId="2" fillId="0" borderId="0" xfId="0" applyNumberFormat="1" applyFont="1"/>
    <xf numFmtId="168" fontId="0" fillId="0" borderId="0" xfId="0" applyNumberFormat="1"/>
    <xf numFmtId="168" fontId="2" fillId="0" borderId="0" xfId="0" applyNumberFormat="1" applyFont="1"/>
    <xf numFmtId="168" fontId="1" fillId="0" borderId="0" xfId="0" applyNumberFormat="1" applyFont="1"/>
    <xf numFmtId="167" fontId="0" fillId="2" borderId="0" xfId="0" applyNumberFormat="1" applyFill="1" applyAlignment="1">
      <alignment horizontal="right"/>
    </xf>
    <xf numFmtId="167" fontId="2" fillId="2" borderId="0" xfId="0" applyNumberFormat="1" applyFont="1" applyFill="1" applyAlignment="1">
      <alignment horizontal="right"/>
    </xf>
    <xf numFmtId="167" fontId="2" fillId="2" borderId="0" xfId="0" applyNumberFormat="1" applyFont="1" applyFill="1"/>
    <xf numFmtId="0" fontId="2" fillId="0" borderId="0" xfId="0" applyFont="1" applyAlignment="1">
      <alignment horizontal="left"/>
    </xf>
    <xf numFmtId="167" fontId="1" fillId="0" borderId="3" xfId="0" applyNumberFormat="1" applyFont="1" applyBorder="1"/>
    <xf numFmtId="167" fontId="0" fillId="0" borderId="1" xfId="0" applyNumberFormat="1" applyBorder="1"/>
    <xf numFmtId="167" fontId="0" fillId="0" borderId="0" xfId="0" applyNumberFormat="1" applyAlignment="1">
      <alignment horizontal="right"/>
    </xf>
    <xf numFmtId="0" fontId="13" fillId="2" borderId="0" xfId="0" applyFont="1" applyFill="1"/>
    <xf numFmtId="1" fontId="0" fillId="0" borderId="0" xfId="0" applyNumberFormat="1"/>
    <xf numFmtId="49" fontId="3" fillId="0" borderId="0" xfId="1" applyNumberFormat="1" applyFont="1" applyAlignment="1">
      <alignment horizontal="left"/>
    </xf>
    <xf numFmtId="0" fontId="15" fillId="0" borderId="0" xfId="0" applyFont="1"/>
    <xf numFmtId="14" fontId="3" fillId="0" borderId="0" xfId="1" applyNumberFormat="1" applyFont="1" applyAlignment="1">
      <alignment horizontal="left"/>
    </xf>
    <xf numFmtId="14" fontId="15" fillId="0" borderId="0" xfId="0" applyNumberFormat="1" applyFont="1"/>
    <xf numFmtId="165" fontId="3" fillId="0" borderId="0" xfId="0" applyNumberFormat="1" applyFont="1" applyAlignment="1">
      <alignment horizontal="left" vertical="center"/>
    </xf>
    <xf numFmtId="165" fontId="0" fillId="0" borderId="0" xfId="0" applyNumberFormat="1" applyAlignment="1">
      <alignment horizontal="left"/>
    </xf>
    <xf numFmtId="49" fontId="0" fillId="0" borderId="0" xfId="0" applyNumberFormat="1"/>
    <xf numFmtId="165" fontId="16" fillId="0" borderId="0" xfId="0" applyNumberFormat="1" applyFont="1" applyAlignment="1">
      <alignment vertical="center" wrapText="1"/>
    </xf>
    <xf numFmtId="0" fontId="17" fillId="0" borderId="0" xfId="1" applyFont="1"/>
    <xf numFmtId="0" fontId="17" fillId="0" borderId="0" xfId="1" quotePrefix="1" applyFont="1"/>
    <xf numFmtId="0" fontId="17" fillId="2" borderId="0" xfId="1" quotePrefix="1" applyFont="1" applyFill="1"/>
    <xf numFmtId="0" fontId="17" fillId="0" borderId="0" xfId="1" applyFont="1" applyAlignment="1">
      <alignment horizontal="right"/>
    </xf>
    <xf numFmtId="0" fontId="0" fillId="2" borderId="0" xfId="0" applyFill="1" applyProtection="1">
      <protection locked="0"/>
    </xf>
    <xf numFmtId="0" fontId="0" fillId="2" borderId="0" xfId="0" applyFill="1" applyAlignment="1" applyProtection="1">
      <alignment horizontal="right"/>
      <protection locked="0"/>
    </xf>
    <xf numFmtId="2" fontId="6" fillId="0" borderId="0" xfId="0" applyNumberFormat="1" applyFont="1"/>
    <xf numFmtId="0" fontId="2" fillId="2" borderId="0" xfId="0" applyFont="1" applyFill="1" applyProtection="1">
      <protection locked="0"/>
    </xf>
    <xf numFmtId="165" fontId="0" fillId="2" borderId="0" xfId="0" applyNumberFormat="1" applyFill="1" applyAlignment="1">
      <alignment horizontal="center"/>
    </xf>
    <xf numFmtId="0" fontId="12" fillId="2" borderId="0" xfId="0" applyFont="1" applyFill="1" applyAlignment="1">
      <alignment horizontal="center" wrapText="1"/>
    </xf>
    <xf numFmtId="2" fontId="2" fillId="0" borderId="0" xfId="0" applyNumberFormat="1" applyFont="1"/>
    <xf numFmtId="49" fontId="2" fillId="0" borderId="0" xfId="0" applyNumberFormat="1" applyFont="1"/>
    <xf numFmtId="164" fontId="0" fillId="2" borderId="0" xfId="0" applyNumberFormat="1" applyFill="1" applyAlignment="1">
      <alignment horizontal="center"/>
    </xf>
    <xf numFmtId="0" fontId="0" fillId="0" borderId="0" xfId="0" applyFill="1"/>
    <xf numFmtId="0" fontId="0" fillId="0" borderId="0" xfId="0" applyFill="1" applyProtection="1">
      <protection locked="0"/>
    </xf>
    <xf numFmtId="169" fontId="0" fillId="0" borderId="0" xfId="0" applyNumberFormat="1" applyFill="1" applyProtection="1">
      <protection locked="0"/>
    </xf>
    <xf numFmtId="0" fontId="0" fillId="0" borderId="0" xfId="0" applyFill="1" applyAlignment="1">
      <alignment horizontal="left"/>
    </xf>
    <xf numFmtId="0" fontId="0" fillId="0" borderId="0" xfId="0" applyFill="1" applyAlignment="1" applyProtection="1">
      <alignment horizontal="left"/>
      <protection locked="0"/>
    </xf>
    <xf numFmtId="0" fontId="0" fillId="0" borderId="0" xfId="0" quotePrefix="1" applyFill="1" applyAlignment="1" applyProtection="1">
      <alignment horizontal="left"/>
      <protection locked="0"/>
    </xf>
    <xf numFmtId="14" fontId="0" fillId="0" borderId="0" xfId="0" applyNumberFormat="1" applyFill="1" applyAlignment="1" applyProtection="1">
      <alignment horizontal="left"/>
      <protection locked="0"/>
    </xf>
    <xf numFmtId="169" fontId="0" fillId="0" borderId="0" xfId="0" applyNumberFormat="1" applyFill="1" applyAlignment="1" applyProtection="1">
      <alignment horizontal="left"/>
      <protection locked="0"/>
    </xf>
    <xf numFmtId="14" fontId="0" fillId="0" borderId="0" xfId="0" applyNumberFormat="1" applyFill="1" applyAlignment="1">
      <alignment horizontal="left"/>
    </xf>
    <xf numFmtId="0" fontId="0" fillId="0" borderId="0" xfId="0" applyFill="1" applyAlignment="1" applyProtection="1">
      <alignment horizontal="right"/>
      <protection locked="0"/>
    </xf>
    <xf numFmtId="14" fontId="0" fillId="0" borderId="0" xfId="0" applyNumberFormat="1" applyFill="1"/>
    <xf numFmtId="0" fontId="0" fillId="0" borderId="2" xfId="0" applyFill="1" applyBorder="1" applyProtection="1">
      <protection locked="0"/>
    </xf>
    <xf numFmtId="0" fontId="2" fillId="0" borderId="1" xfId="0" applyFont="1" applyBorder="1" applyAlignment="1">
      <alignment horizontal="center"/>
    </xf>
  </cellXfs>
  <cellStyles count="2">
    <cellStyle name="Normal" xfId="0" builtinId="0"/>
    <cellStyle name="Normal_Sheet1" xfId="1"/>
  </cellStyles>
  <dxfs count="3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0" formatCode="m/d/yyyy"/>
    </dxf>
    <dxf>
      <numFmt numFmtId="170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3</xdr:col>
      <xdr:colOff>186690</xdr:colOff>
      <xdr:row>4</xdr:row>
      <xdr:rowOff>16966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28575"/>
          <a:ext cx="2190750" cy="78849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id="1" name="Table1" displayName="Table1" ref="A1:AE3" totalsRowShown="0" headerRowDxfId="32" dataDxfId="31">
  <tableColumns count="31">
    <tableColumn id="1" name="SampleID" dataDxfId="30">
      <calculatedColumnFormula>Report!B8</calculatedColumnFormula>
    </tableColumn>
    <tableColumn id="3" name="Analysis_Type" dataDxfId="29"/>
    <tableColumn id="4" name="Client_ID" dataDxfId="28">
      <calculatedColumnFormula>Report!C14</calculatedColumnFormula>
    </tableColumn>
    <tableColumn id="2" name="Laboratory_Number" dataDxfId="27">
      <calculatedColumnFormula>Report!B8</calculatedColumnFormula>
    </tableColumn>
    <tableColumn id="7" name="Operator_Name" dataDxfId="26">
      <calculatedColumnFormula>Report!C12</calculatedColumnFormula>
    </tableColumn>
    <tableColumn id="10" name="Well_Name" dataDxfId="25">
      <calculatedColumnFormula>Report!C13</calculatedColumnFormula>
    </tableColumn>
    <tableColumn id="11" name="Initials_of_Sampler" dataDxfId="24">
      <calculatedColumnFormula>Report!G12</calculatedColumnFormula>
    </tableColumn>
    <tableColumn id="16" name="Container_Identity" dataDxfId="23">
      <calculatedColumnFormula>Report!B9</calculatedColumnFormula>
    </tableColumn>
    <tableColumn id="28" name="Date_Sampled_Start" dataDxfId="22">
      <calculatedColumnFormula>Report!G13</calculatedColumnFormula>
    </tableColumn>
    <tableColumn id="5" name="Date_Reported" dataDxfId="21">
      <calculatedColumnFormula>Report!G13</calculatedColumnFormula>
    </tableColumn>
    <tableColumn id="22" name="Gauge_Pressure_Source" dataDxfId="20"/>
    <tableColumn id="24" name="Temperature_Source" dataDxfId="19"/>
    <tableColumn id="26" name="Base_Pressure" dataDxfId="18"/>
    <tableColumn id="27" name="Base_Temperature" dataDxfId="17"/>
    <tableColumn id="34" name="Methane (C1)_Mole%" dataDxfId="16"/>
    <tableColumn id="35" name="Ethane (C2)_Mole%" dataDxfId="15"/>
    <tableColumn id="36" name="Propane (C3)_Mole%" dataDxfId="14"/>
    <tableColumn id="37" name="Isobutane (iC4)_Mole%" dataDxfId="13"/>
    <tableColumn id="38" name="n-Butane (nC4)_Mole%" dataDxfId="12"/>
    <tableColumn id="39" name="Isopentane (iC5)_Mole%" dataDxfId="11"/>
    <tableColumn id="40" name="n-Pentane (nC5)_Mole%" dataDxfId="10"/>
    <tableColumn id="41" name="Hexanes Plus (C6+)_Mole%" dataDxfId="9"/>
    <tableColumn id="42" name="Carbon Dioxide (CO2)_Mole%" dataDxfId="8"/>
    <tableColumn id="45" name="Hydrogen Sulfide (H2S)_Mole%" dataDxfId="7"/>
    <tableColumn id="47" name="Nitrogen (N2)_Mole%" dataDxfId="6"/>
    <tableColumn id="63" name="Heating Value_Dry" dataDxfId="5"/>
    <tableColumn id="64" name="Heating Value (Saturated)_Stock Tank Gas" dataDxfId="4"/>
    <tableColumn id="72" name="Total_Dry" dataDxfId="3"/>
    <tableColumn id="77" name="Specific Gravity Total Dry" dataDxfId="2"/>
    <tableColumn id="92" name="Hydrogen Sulfide (H2S)_Onsite" dataDxfId="1"/>
    <tableColumn id="6" name="File_Name" dataDxfId="0">
      <calculatedColumnFormula array="1">MID(CELL("filename"),SEARCH("[",CELL("filename"))+1, SEARCH("]",CELL("filename"))-SEARCH("[",CELL("filename"))-6)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A31"/>
  <sheetViews>
    <sheetView zoomScaleNormal="100" workbookViewId="0">
      <pane xSplit="1" topLeftCell="B1" activePane="topRight" state="frozen"/>
      <selection pane="topRight" activeCell="G9" sqref="G9"/>
    </sheetView>
  </sheetViews>
  <sheetFormatPr defaultRowHeight="15" x14ac:dyDescent="0.25"/>
  <cols>
    <col min="1" max="1" width="12.28515625" bestFit="1" customWidth="1"/>
    <col min="2" max="2" width="8.85546875" customWidth="1"/>
    <col min="3" max="4" width="11.28515625" bestFit="1" customWidth="1"/>
    <col min="5" max="5" width="10.140625" customWidth="1"/>
    <col min="6" max="6" width="10" bestFit="1" customWidth="1"/>
    <col min="8" max="8" width="9.5703125" bestFit="1" customWidth="1"/>
    <col min="10" max="10" width="14.5703125" bestFit="1" customWidth="1"/>
    <col min="11" max="12" width="10" bestFit="1" customWidth="1"/>
    <col min="13" max="14" width="10" customWidth="1"/>
    <col min="17" max="17" width="4.42578125" customWidth="1"/>
    <col min="18" max="18" width="10" bestFit="1" customWidth="1"/>
    <col min="19" max="19" width="11.5703125" bestFit="1" customWidth="1"/>
    <col min="24" max="24" width="10" bestFit="1" customWidth="1"/>
    <col min="25" max="27" width="11.42578125" bestFit="1" customWidth="1"/>
  </cols>
  <sheetData>
    <row r="1" spans="1:27" ht="15.75" thickBot="1" x14ac:dyDescent="0.3">
      <c r="D1" s="19">
        <v>14.65</v>
      </c>
      <c r="F1" s="11" t="s">
        <v>39</v>
      </c>
      <c r="G1" s="100">
        <v>14.65</v>
      </c>
      <c r="H1" t="s">
        <v>40</v>
      </c>
    </row>
    <row r="2" spans="1:27" x14ac:dyDescent="0.25">
      <c r="A2" s="1"/>
      <c r="B2" s="101"/>
      <c r="C2" s="101"/>
      <c r="D2" s="19">
        <v>14.696</v>
      </c>
      <c r="L2" s="10" t="s">
        <v>27</v>
      </c>
      <c r="N2" s="10" t="s">
        <v>27</v>
      </c>
      <c r="S2" s="10" t="s">
        <v>32</v>
      </c>
      <c r="U2" s="4" t="s">
        <v>32</v>
      </c>
      <c r="V2" s="46" t="s">
        <v>18</v>
      </c>
      <c r="W2" s="4" t="s">
        <v>32</v>
      </c>
    </row>
    <row r="3" spans="1:27" x14ac:dyDescent="0.25">
      <c r="A3" s="3"/>
      <c r="B3" s="7"/>
      <c r="C3" s="7"/>
      <c r="D3" s="19">
        <v>14.73</v>
      </c>
      <c r="E3" s="3"/>
      <c r="F3" s="46" t="s">
        <v>18</v>
      </c>
      <c r="G3" s="3"/>
      <c r="H3" s="3"/>
      <c r="I3" s="46" t="s">
        <v>18</v>
      </c>
      <c r="J3" s="4" t="s">
        <v>27</v>
      </c>
      <c r="K3" s="46" t="s">
        <v>18</v>
      </c>
      <c r="L3" s="4" t="s">
        <v>22</v>
      </c>
      <c r="M3" s="46" t="s">
        <v>18</v>
      </c>
      <c r="N3" s="4" t="s">
        <v>22</v>
      </c>
      <c r="O3" s="46" t="s">
        <v>18</v>
      </c>
      <c r="P3" s="3"/>
      <c r="S3" s="4" t="s">
        <v>22</v>
      </c>
      <c r="T3" s="12" t="s">
        <v>18</v>
      </c>
      <c r="U3" s="4" t="s">
        <v>22</v>
      </c>
      <c r="V3" s="4" t="s">
        <v>19</v>
      </c>
      <c r="W3" s="4" t="s">
        <v>22</v>
      </c>
      <c r="X3" s="46" t="s">
        <v>18</v>
      </c>
      <c r="Z3" s="4" t="s">
        <v>66</v>
      </c>
    </row>
    <row r="4" spans="1:27" x14ac:dyDescent="0.25">
      <c r="A4" s="3"/>
      <c r="B4" s="7"/>
      <c r="C4" s="7"/>
      <c r="D4" s="19">
        <v>15.025</v>
      </c>
      <c r="E4" s="3"/>
      <c r="F4" s="4"/>
      <c r="G4" s="4" t="s">
        <v>22</v>
      </c>
      <c r="H4" s="4" t="s">
        <v>22</v>
      </c>
      <c r="I4" s="4" t="s">
        <v>19</v>
      </c>
      <c r="J4" s="4" t="s">
        <v>22</v>
      </c>
      <c r="K4" s="4" t="s">
        <v>252</v>
      </c>
      <c r="L4" s="4" t="s">
        <v>252</v>
      </c>
      <c r="M4" s="4" t="s">
        <v>253</v>
      </c>
      <c r="N4" s="4" t="s">
        <v>253</v>
      </c>
      <c r="O4" s="3"/>
      <c r="P4" s="4" t="s">
        <v>22</v>
      </c>
      <c r="R4" s="1" t="s">
        <v>31</v>
      </c>
      <c r="S4" s="4" t="s">
        <v>19</v>
      </c>
      <c r="T4" s="4" t="s">
        <v>28</v>
      </c>
      <c r="U4" s="4" t="s">
        <v>28</v>
      </c>
      <c r="V4" s="4" t="s">
        <v>24</v>
      </c>
      <c r="W4" s="4" t="s">
        <v>19</v>
      </c>
      <c r="X4" s="4" t="s">
        <v>75</v>
      </c>
      <c r="Y4" s="4" t="s">
        <v>66</v>
      </c>
      <c r="Z4" s="4" t="s">
        <v>76</v>
      </c>
      <c r="AA4" s="4" t="s">
        <v>66</v>
      </c>
    </row>
    <row r="5" spans="1:27" x14ac:dyDescent="0.25">
      <c r="A5" s="3"/>
      <c r="B5" s="8" t="s">
        <v>14</v>
      </c>
      <c r="C5" s="8" t="s">
        <v>15</v>
      </c>
      <c r="D5" s="4" t="s">
        <v>15</v>
      </c>
      <c r="E5" s="4" t="s">
        <v>16</v>
      </c>
      <c r="F5" s="4" t="s">
        <v>20</v>
      </c>
      <c r="G5" s="4" t="s">
        <v>19</v>
      </c>
      <c r="H5" s="4" t="s">
        <v>71</v>
      </c>
      <c r="I5" s="4" t="s">
        <v>24</v>
      </c>
      <c r="J5" s="4" t="s">
        <v>19</v>
      </c>
      <c r="K5" s="4" t="s">
        <v>19</v>
      </c>
      <c r="L5" s="4" t="s">
        <v>19</v>
      </c>
      <c r="M5" s="4" t="s">
        <v>19</v>
      </c>
      <c r="N5" s="4" t="s">
        <v>19</v>
      </c>
      <c r="O5" s="4" t="s">
        <v>28</v>
      </c>
      <c r="P5" s="4" t="s">
        <v>28</v>
      </c>
      <c r="R5" s="4" t="s">
        <v>17</v>
      </c>
      <c r="S5" s="4" t="s">
        <v>26</v>
      </c>
      <c r="T5" s="4" t="s">
        <v>13</v>
      </c>
      <c r="U5" s="4" t="s">
        <v>13</v>
      </c>
      <c r="V5" s="4" t="s">
        <v>25</v>
      </c>
      <c r="W5" s="4" t="s">
        <v>25</v>
      </c>
      <c r="X5" s="4" t="s">
        <v>76</v>
      </c>
      <c r="Y5" s="4" t="s">
        <v>76</v>
      </c>
      <c r="Z5" s="4" t="s">
        <v>17</v>
      </c>
      <c r="AA5" s="4" t="s">
        <v>77</v>
      </c>
    </row>
    <row r="6" spans="1:27" x14ac:dyDescent="0.25">
      <c r="A6" s="4" t="s">
        <v>0</v>
      </c>
      <c r="B6" s="8" t="s">
        <v>12</v>
      </c>
      <c r="C6" s="8" t="s">
        <v>12</v>
      </c>
      <c r="D6" s="4" t="s">
        <v>12</v>
      </c>
      <c r="E6" s="4" t="s">
        <v>17</v>
      </c>
      <c r="F6" s="4" t="s">
        <v>21</v>
      </c>
      <c r="G6" s="4" t="s">
        <v>23</v>
      </c>
      <c r="H6" s="4" t="s">
        <v>23</v>
      </c>
      <c r="I6" s="4" t="s">
        <v>25</v>
      </c>
      <c r="J6" s="4" t="s">
        <v>25</v>
      </c>
      <c r="K6" s="4" t="s">
        <v>26</v>
      </c>
      <c r="L6" s="4" t="s">
        <v>26</v>
      </c>
      <c r="M6" s="4" t="s">
        <v>26</v>
      </c>
      <c r="N6" s="4" t="s">
        <v>26</v>
      </c>
      <c r="O6" s="4" t="s">
        <v>13</v>
      </c>
      <c r="P6" s="4" t="s">
        <v>13</v>
      </c>
      <c r="Q6" s="37" t="s">
        <v>37</v>
      </c>
      <c r="R6" s="58">
        <f>IF(G1=14.65,0.0175,IF(G1=14.696,0.01744,IF(G1=14.73,0.0174,IF(G1=15.025,0.0171))))</f>
        <v>1.7500000000000002E-2</v>
      </c>
      <c r="S6" s="2">
        <v>0</v>
      </c>
      <c r="T6" s="13">
        <v>6.5100000000000005E-2</v>
      </c>
      <c r="U6">
        <f>ROUND(R6*T6,5)</f>
        <v>1.14E-3</v>
      </c>
      <c r="V6" s="12">
        <v>0.62202000000000002</v>
      </c>
      <c r="W6">
        <f>ROUND(R6*V6,5)</f>
        <v>1.089E-2</v>
      </c>
    </row>
    <row r="7" spans="1:27" x14ac:dyDescent="0.25">
      <c r="A7" s="37" t="s">
        <v>38</v>
      </c>
      <c r="B7" s="64">
        <f>Report!I18/10000</f>
        <v>0</v>
      </c>
      <c r="C7" s="64">
        <f>B7</f>
        <v>0</v>
      </c>
      <c r="D7" s="65">
        <f t="shared" ref="D7" si="0">C7</f>
        <v>0</v>
      </c>
      <c r="E7" s="56">
        <f t="shared" ref="E7:E18" si="1">ROUND(D7/100,6)</f>
        <v>0</v>
      </c>
      <c r="F7" s="4"/>
      <c r="G7" s="4"/>
      <c r="H7" s="4"/>
      <c r="I7" s="33">
        <v>1.1767000000000001</v>
      </c>
      <c r="J7" s="5">
        <f t="shared" ref="J7:J18" si="2">ROUND(E7*I7,5)</f>
        <v>0</v>
      </c>
      <c r="K7" s="14">
        <v>637.1</v>
      </c>
      <c r="L7" s="2">
        <f>ROUND(E7*K7,3)</f>
        <v>0</v>
      </c>
      <c r="M7" s="14">
        <v>586.79</v>
      </c>
      <c r="N7" s="35">
        <f t="shared" ref="N7:N19" si="3">ROUND(E7*M7,2)</f>
        <v>0</v>
      </c>
      <c r="O7" s="13">
        <v>2.3900000000000001E-2</v>
      </c>
      <c r="P7" s="5">
        <f t="shared" ref="P7" si="4">ROUND(E7*O7,5)</f>
        <v>0</v>
      </c>
      <c r="Q7" s="37" t="s">
        <v>38</v>
      </c>
      <c r="R7" s="56">
        <f t="shared" ref="R7:R18" si="5">ROUND(E7*(1-$R$6),6)</f>
        <v>0</v>
      </c>
      <c r="S7" s="2">
        <f>ROUND(K7*R7,3)</f>
        <v>0</v>
      </c>
      <c r="T7" s="13">
        <v>2.3900000000000001E-2</v>
      </c>
      <c r="U7" s="5">
        <f t="shared" ref="U7:U18" si="6">ROUND(R7*T7,5)</f>
        <v>0</v>
      </c>
      <c r="V7" s="13">
        <v>1.1767000000000001</v>
      </c>
      <c r="W7" s="5">
        <f t="shared" ref="W7:W18" si="7">ROUND(R7*V7,5)</f>
        <v>0</v>
      </c>
      <c r="X7" s="12">
        <v>34.0809</v>
      </c>
      <c r="Y7" s="56">
        <f t="shared" ref="Y7:Y19" si="8">ROUND(E7*X7,6)</f>
        <v>0</v>
      </c>
      <c r="Z7" s="56" t="e">
        <f t="shared" ref="Z7:Z19" si="9">ROUND(Y7/$Y$20,6)</f>
        <v>#DIV/0!</v>
      </c>
      <c r="AA7" s="52" t="e">
        <f t="shared" ref="AA7:AA18" si="10">ROUND(Z7*100,4)</f>
        <v>#DIV/0!</v>
      </c>
    </row>
    <row r="8" spans="1:27" x14ac:dyDescent="0.25">
      <c r="A8" s="37" t="s">
        <v>42</v>
      </c>
      <c r="B8" s="47">
        <v>0</v>
      </c>
      <c r="C8" s="64" t="e">
        <f>ROUND((100/$B$20)*B8,4)</f>
        <v>#DIV/0!</v>
      </c>
      <c r="D8" s="65" t="e">
        <f t="shared" ref="D8" si="11">C8</f>
        <v>#DIV/0!</v>
      </c>
      <c r="E8" s="56" t="e">
        <f>ROUND(D8/100,6)</f>
        <v>#DIV/0!</v>
      </c>
      <c r="F8" s="4"/>
      <c r="G8" s="4"/>
      <c r="H8" s="4"/>
      <c r="I8" s="33">
        <v>0.13819999999999999</v>
      </c>
      <c r="J8" s="5" t="e">
        <f>ROUND(E8*I8,5)</f>
        <v>#DIV/0!</v>
      </c>
      <c r="K8" s="14">
        <v>0</v>
      </c>
      <c r="L8" s="2" t="e">
        <f t="shared" ref="L8:L19" si="12">ROUND(E8*K8,3)</f>
        <v>#DIV/0!</v>
      </c>
      <c r="M8" s="14">
        <v>0</v>
      </c>
      <c r="N8" s="35" t="e">
        <f>ROUND(E8*M8,2)</f>
        <v>#DIV/0!</v>
      </c>
      <c r="O8" s="13">
        <v>0</v>
      </c>
      <c r="P8" s="5" t="e">
        <f>ROUND(E8*O8,5)</f>
        <v>#DIV/0!</v>
      </c>
      <c r="Q8" s="37" t="s">
        <v>42</v>
      </c>
      <c r="R8" s="56" t="e">
        <f>ROUND(E8*(1-$R$6),6)</f>
        <v>#DIV/0!</v>
      </c>
      <c r="S8" s="2" t="e">
        <f t="shared" ref="S8:S19" si="13">ROUND(K8*R8,3)</f>
        <v>#DIV/0!</v>
      </c>
      <c r="T8" s="13">
        <v>0</v>
      </c>
      <c r="U8" s="5" t="e">
        <f t="shared" ref="U8" si="14">ROUND(R8*T8,5)</f>
        <v>#DIV/0!</v>
      </c>
      <c r="V8" s="13">
        <v>0.13819999999999999</v>
      </c>
      <c r="W8" t="e">
        <f t="shared" ref="W8" si="15">ROUND(R8*V8,5)</f>
        <v>#DIV/0!</v>
      </c>
      <c r="X8" s="12">
        <v>4.0026000000000002</v>
      </c>
      <c r="Y8" s="56" t="e">
        <f>ROUND(E8*X8,6)</f>
        <v>#DIV/0!</v>
      </c>
      <c r="Z8" s="56" t="e">
        <f t="shared" si="9"/>
        <v>#DIV/0!</v>
      </c>
      <c r="AA8" s="52" t="e">
        <f>ROUND(Z8*100,4)</f>
        <v>#DIV/0!</v>
      </c>
    </row>
    <row r="9" spans="1:27" x14ac:dyDescent="0.25">
      <c r="A9" s="37" t="s">
        <v>79</v>
      </c>
      <c r="B9" s="48">
        <v>0</v>
      </c>
      <c r="C9" s="64" t="e">
        <f t="shared" ref="C9:C19" si="16">ROUND((100/$B$20)*B9,4)</f>
        <v>#DIV/0!</v>
      </c>
      <c r="D9" s="65" t="e">
        <f>C9</f>
        <v>#DIV/0!</v>
      </c>
      <c r="E9" s="56" t="e">
        <f t="shared" si="1"/>
        <v>#DIV/0!</v>
      </c>
      <c r="F9" s="3"/>
      <c r="G9" s="3"/>
      <c r="H9" s="3"/>
      <c r="I9" s="41">
        <v>1.1048</v>
      </c>
      <c r="J9" s="5" t="e">
        <f t="shared" si="2"/>
        <v>#DIV/0!</v>
      </c>
      <c r="K9" s="43">
        <v>0</v>
      </c>
      <c r="L9" s="2" t="e">
        <f t="shared" si="12"/>
        <v>#DIV/0!</v>
      </c>
      <c r="M9" s="14">
        <v>0</v>
      </c>
      <c r="N9" s="35" t="e">
        <f t="shared" si="3"/>
        <v>#DIV/0!</v>
      </c>
      <c r="O9" s="44">
        <v>7.1999999999999998E-3</v>
      </c>
      <c r="P9" s="5" t="e">
        <f>ROUND(E9*O9,5)</f>
        <v>#DIV/0!</v>
      </c>
      <c r="Q9" t="s">
        <v>79</v>
      </c>
      <c r="R9" s="56" t="e">
        <f t="shared" si="5"/>
        <v>#DIV/0!</v>
      </c>
      <c r="S9" s="2" t="e">
        <f t="shared" si="13"/>
        <v>#DIV/0!</v>
      </c>
      <c r="T9" s="13">
        <v>7.1999999999999998E-3</v>
      </c>
      <c r="U9" s="5" t="e">
        <f t="shared" si="6"/>
        <v>#DIV/0!</v>
      </c>
      <c r="V9" s="13">
        <v>1.1048</v>
      </c>
      <c r="W9" s="5" t="e">
        <f t="shared" si="7"/>
        <v>#DIV/0!</v>
      </c>
      <c r="X9" s="12">
        <v>31.998799999999999</v>
      </c>
      <c r="Y9" s="56" t="e">
        <f t="shared" si="8"/>
        <v>#DIV/0!</v>
      </c>
      <c r="Z9" s="56" t="e">
        <f t="shared" si="9"/>
        <v>#DIV/0!</v>
      </c>
      <c r="AA9" s="52" t="e">
        <f t="shared" si="10"/>
        <v>#DIV/0!</v>
      </c>
    </row>
    <row r="10" spans="1:27" x14ac:dyDescent="0.25">
      <c r="A10" t="s">
        <v>1</v>
      </c>
      <c r="B10" s="47">
        <v>0</v>
      </c>
      <c r="C10" s="64" t="e">
        <f t="shared" si="16"/>
        <v>#DIV/0!</v>
      </c>
      <c r="D10" s="65" t="e">
        <f>C10</f>
        <v>#DIV/0!</v>
      </c>
      <c r="E10" s="56" t="e">
        <f t="shared" si="1"/>
        <v>#DIV/0!</v>
      </c>
      <c r="I10" s="33">
        <v>0.96719999999999995</v>
      </c>
      <c r="J10" s="5" t="e">
        <f t="shared" si="2"/>
        <v>#DIV/0!</v>
      </c>
      <c r="K10" s="14">
        <v>0</v>
      </c>
      <c r="L10" s="2" t="e">
        <f t="shared" si="12"/>
        <v>#DIV/0!</v>
      </c>
      <c r="M10" s="14">
        <v>0</v>
      </c>
      <c r="N10" s="35" t="e">
        <f t="shared" si="3"/>
        <v>#DIV/0!</v>
      </c>
      <c r="O10" s="13">
        <v>4.4200000000000003E-3</v>
      </c>
      <c r="P10" s="5" t="e">
        <f t="shared" ref="P10:P11" si="17">ROUND(E10*O10,5)</f>
        <v>#DIV/0!</v>
      </c>
      <c r="Q10" t="s">
        <v>1</v>
      </c>
      <c r="R10" s="56" t="e">
        <f t="shared" si="5"/>
        <v>#DIV/0!</v>
      </c>
      <c r="S10" s="2" t="e">
        <f t="shared" si="13"/>
        <v>#DIV/0!</v>
      </c>
      <c r="T10" s="13">
        <v>4.4200000000000003E-3</v>
      </c>
      <c r="U10" t="e">
        <f t="shared" si="6"/>
        <v>#DIV/0!</v>
      </c>
      <c r="V10" s="12">
        <v>0.96719999999999995</v>
      </c>
      <c r="W10" t="e">
        <f t="shared" si="7"/>
        <v>#DIV/0!</v>
      </c>
      <c r="X10" s="12">
        <v>28.013400000000001</v>
      </c>
      <c r="Y10" s="56" t="e">
        <f t="shared" si="8"/>
        <v>#DIV/0!</v>
      </c>
      <c r="Z10" s="56" t="e">
        <f t="shared" si="9"/>
        <v>#DIV/0!</v>
      </c>
      <c r="AA10" s="52" t="e">
        <f t="shared" si="10"/>
        <v>#DIV/0!</v>
      </c>
    </row>
    <row r="11" spans="1:27" x14ac:dyDescent="0.25">
      <c r="A11" t="s">
        <v>3</v>
      </c>
      <c r="B11" s="47">
        <v>0</v>
      </c>
      <c r="C11" s="64" t="e">
        <f t="shared" si="16"/>
        <v>#DIV/0!</v>
      </c>
      <c r="D11" s="65" t="e">
        <f>C11+C21</f>
        <v>#DIV/0!</v>
      </c>
      <c r="E11" s="56" t="e">
        <f t="shared" si="1"/>
        <v>#DIV/0!</v>
      </c>
      <c r="F11" s="40"/>
      <c r="G11" s="2" t="s">
        <v>185</v>
      </c>
      <c r="H11" s="2"/>
      <c r="I11" s="33">
        <v>0.55389999999999995</v>
      </c>
      <c r="J11" s="5" t="e">
        <f t="shared" si="2"/>
        <v>#DIV/0!</v>
      </c>
      <c r="K11" s="14">
        <v>1010</v>
      </c>
      <c r="L11" s="2" t="e">
        <f t="shared" si="12"/>
        <v>#DIV/0!</v>
      </c>
      <c r="M11" s="14">
        <v>909.4</v>
      </c>
      <c r="N11" s="35" t="e">
        <f t="shared" si="3"/>
        <v>#DIV/0!</v>
      </c>
      <c r="O11" s="13">
        <v>1.1599999999999999E-2</v>
      </c>
      <c r="P11" s="5" t="e">
        <f t="shared" si="17"/>
        <v>#DIV/0!</v>
      </c>
      <c r="Q11" t="s">
        <v>3</v>
      </c>
      <c r="R11" s="56" t="e">
        <f t="shared" si="5"/>
        <v>#DIV/0!</v>
      </c>
      <c r="S11" s="2" t="e">
        <f t="shared" si="13"/>
        <v>#DIV/0!</v>
      </c>
      <c r="T11" s="13">
        <v>1.1599999999999999E-2</v>
      </c>
      <c r="U11" t="e">
        <f t="shared" si="6"/>
        <v>#DIV/0!</v>
      </c>
      <c r="V11" s="12">
        <v>0.55389999999999995</v>
      </c>
      <c r="W11" s="5" t="e">
        <f t="shared" si="7"/>
        <v>#DIV/0!</v>
      </c>
      <c r="X11" s="12">
        <v>16.0425</v>
      </c>
      <c r="Y11" s="56" t="e">
        <f t="shared" si="8"/>
        <v>#DIV/0!</v>
      </c>
      <c r="Z11" s="56" t="e">
        <f t="shared" si="9"/>
        <v>#DIV/0!</v>
      </c>
      <c r="AA11" s="52" t="e">
        <f>Z11*100+Z21</f>
        <v>#DIV/0!</v>
      </c>
    </row>
    <row r="12" spans="1:27" x14ac:dyDescent="0.25">
      <c r="A12" t="s">
        <v>2</v>
      </c>
      <c r="B12" s="47">
        <v>0</v>
      </c>
      <c r="C12" s="64" t="e">
        <f t="shared" si="16"/>
        <v>#DIV/0!</v>
      </c>
      <c r="D12" s="65" t="e">
        <f>C12</f>
        <v>#DIV/0!</v>
      </c>
      <c r="E12" s="56" t="e">
        <f t="shared" si="1"/>
        <v>#DIV/0!</v>
      </c>
      <c r="G12" s="2"/>
      <c r="H12" s="2"/>
      <c r="I12" s="33">
        <v>1.5195000000000001</v>
      </c>
      <c r="J12" s="5" t="e">
        <f t="shared" si="2"/>
        <v>#DIV/0!</v>
      </c>
      <c r="K12" s="14">
        <v>0</v>
      </c>
      <c r="L12" s="2" t="e">
        <f t="shared" si="12"/>
        <v>#DIV/0!</v>
      </c>
      <c r="M12" s="14">
        <v>0</v>
      </c>
      <c r="N12" s="35" t="e">
        <f t="shared" si="3"/>
        <v>#DIV/0!</v>
      </c>
      <c r="O12" s="13">
        <v>1.95E-2</v>
      </c>
      <c r="P12" s="5" t="e">
        <f t="shared" ref="P12:P18" si="18">ROUND(E12*O12,5)</f>
        <v>#DIV/0!</v>
      </c>
      <c r="Q12" t="s">
        <v>2</v>
      </c>
      <c r="R12" s="56" t="e">
        <f t="shared" si="5"/>
        <v>#DIV/0!</v>
      </c>
      <c r="S12" s="2" t="e">
        <f t="shared" si="13"/>
        <v>#DIV/0!</v>
      </c>
      <c r="T12" s="13">
        <v>1.95E-2</v>
      </c>
      <c r="U12" t="e">
        <f t="shared" si="6"/>
        <v>#DIV/0!</v>
      </c>
      <c r="V12" s="12">
        <v>1.5195000000000001</v>
      </c>
      <c r="W12" t="e">
        <f t="shared" si="7"/>
        <v>#DIV/0!</v>
      </c>
      <c r="X12" s="12">
        <v>44.009500000000003</v>
      </c>
      <c r="Y12" s="56" t="e">
        <f t="shared" si="8"/>
        <v>#DIV/0!</v>
      </c>
      <c r="Z12" s="56" t="e">
        <f t="shared" si="9"/>
        <v>#DIV/0!</v>
      </c>
      <c r="AA12" s="52" t="e">
        <f t="shared" si="10"/>
        <v>#DIV/0!</v>
      </c>
    </row>
    <row r="13" spans="1:27" x14ac:dyDescent="0.25">
      <c r="A13" t="s">
        <v>4</v>
      </c>
      <c r="B13" s="47">
        <v>0</v>
      </c>
      <c r="C13" s="64" t="e">
        <f t="shared" si="16"/>
        <v>#DIV/0!</v>
      </c>
      <c r="D13" s="65" t="e">
        <f t="shared" ref="D13:D16" si="19">C13</f>
        <v>#DIV/0!</v>
      </c>
      <c r="E13" s="56" t="e">
        <f t="shared" si="1"/>
        <v>#DIV/0!</v>
      </c>
      <c r="F13" s="12">
        <v>37.488</v>
      </c>
      <c r="G13" s="2" t="e">
        <f t="shared" ref="G13:G18" si="20">ROUND(E13/F13*1000*($G$1/14.696),3)</f>
        <v>#DIV/0!</v>
      </c>
      <c r="H13" s="2" t="e">
        <f t="shared" ref="H13:H19" si="21">ROUND(E13/F13*1000*($G$1/14.696)/$L$23,3)</f>
        <v>#DIV/0!</v>
      </c>
      <c r="I13" s="33">
        <v>1.0382</v>
      </c>
      <c r="J13" s="5" t="e">
        <f t="shared" si="2"/>
        <v>#DIV/0!</v>
      </c>
      <c r="K13" s="14">
        <v>1769.7</v>
      </c>
      <c r="L13" s="2" t="e">
        <f t="shared" si="12"/>
        <v>#DIV/0!</v>
      </c>
      <c r="M13" s="14">
        <v>1619</v>
      </c>
      <c r="N13" s="35" t="e">
        <f t="shared" si="3"/>
        <v>#DIV/0!</v>
      </c>
      <c r="O13" s="13">
        <v>2.3800000000000002E-2</v>
      </c>
      <c r="P13" s="5" t="e">
        <f t="shared" si="18"/>
        <v>#DIV/0!</v>
      </c>
      <c r="Q13" t="s">
        <v>4</v>
      </c>
      <c r="R13" s="56" t="e">
        <f t="shared" si="5"/>
        <v>#DIV/0!</v>
      </c>
      <c r="S13" s="2" t="e">
        <f t="shared" si="13"/>
        <v>#DIV/0!</v>
      </c>
      <c r="T13" s="13">
        <v>2.3800000000000002E-2</v>
      </c>
      <c r="U13" t="e">
        <f t="shared" si="6"/>
        <v>#DIV/0!</v>
      </c>
      <c r="V13" s="12">
        <v>1.0382</v>
      </c>
      <c r="W13" s="5" t="e">
        <f t="shared" si="7"/>
        <v>#DIV/0!</v>
      </c>
      <c r="X13" s="12">
        <v>30.068999999999999</v>
      </c>
      <c r="Y13" s="56" t="e">
        <f t="shared" si="8"/>
        <v>#DIV/0!</v>
      </c>
      <c r="Z13" s="56" t="e">
        <f t="shared" si="9"/>
        <v>#DIV/0!</v>
      </c>
      <c r="AA13" s="52" t="e">
        <f t="shared" si="10"/>
        <v>#DIV/0!</v>
      </c>
    </row>
    <row r="14" spans="1:27" x14ac:dyDescent="0.25">
      <c r="A14" t="s">
        <v>5</v>
      </c>
      <c r="B14" s="47">
        <v>0</v>
      </c>
      <c r="C14" s="64" t="e">
        <f t="shared" si="16"/>
        <v>#DIV/0!</v>
      </c>
      <c r="D14" s="65" t="e">
        <f t="shared" si="19"/>
        <v>#DIV/0!</v>
      </c>
      <c r="E14" s="56" t="e">
        <f t="shared" si="1"/>
        <v>#DIV/0!</v>
      </c>
      <c r="F14" s="12">
        <v>36.390999999999998</v>
      </c>
      <c r="G14" s="2" t="e">
        <f t="shared" si="20"/>
        <v>#DIV/0!</v>
      </c>
      <c r="H14" s="2" t="e">
        <f t="shared" si="21"/>
        <v>#DIV/0!</v>
      </c>
      <c r="I14" s="33">
        <v>1.5225</v>
      </c>
      <c r="J14" s="5" t="e">
        <f t="shared" si="2"/>
        <v>#DIV/0!</v>
      </c>
      <c r="K14" s="14">
        <v>2516.1</v>
      </c>
      <c r="L14" s="2" t="e">
        <f t="shared" si="12"/>
        <v>#DIV/0!</v>
      </c>
      <c r="M14" s="14">
        <v>2315</v>
      </c>
      <c r="N14" s="35" t="e">
        <f t="shared" si="3"/>
        <v>#DIV/0!</v>
      </c>
      <c r="O14" s="13">
        <v>3.4700000000000002E-2</v>
      </c>
      <c r="P14" s="5" t="e">
        <f t="shared" si="18"/>
        <v>#DIV/0!</v>
      </c>
      <c r="Q14" t="s">
        <v>5</v>
      </c>
      <c r="R14" s="56" t="e">
        <f t="shared" si="5"/>
        <v>#DIV/0!</v>
      </c>
      <c r="S14" s="2" t="e">
        <f t="shared" si="13"/>
        <v>#DIV/0!</v>
      </c>
      <c r="T14" s="13">
        <v>3.4700000000000002E-2</v>
      </c>
      <c r="U14" t="e">
        <f t="shared" si="6"/>
        <v>#DIV/0!</v>
      </c>
      <c r="V14" s="12">
        <v>1.5225</v>
      </c>
      <c r="W14" t="e">
        <f t="shared" si="7"/>
        <v>#DIV/0!</v>
      </c>
      <c r="X14" s="12">
        <v>44.095599999999997</v>
      </c>
      <c r="Y14" s="56" t="e">
        <f t="shared" si="8"/>
        <v>#DIV/0!</v>
      </c>
      <c r="Z14" s="56" t="e">
        <f t="shared" si="9"/>
        <v>#DIV/0!</v>
      </c>
      <c r="AA14" s="52" t="e">
        <f t="shared" si="10"/>
        <v>#DIV/0!</v>
      </c>
    </row>
    <row r="15" spans="1:27" x14ac:dyDescent="0.25">
      <c r="A15" t="s">
        <v>6</v>
      </c>
      <c r="B15" s="47">
        <v>0</v>
      </c>
      <c r="C15" s="64" t="e">
        <f t="shared" si="16"/>
        <v>#DIV/0!</v>
      </c>
      <c r="D15" s="65" t="e">
        <f t="shared" si="19"/>
        <v>#DIV/0!</v>
      </c>
      <c r="E15" s="56" t="e">
        <f t="shared" si="1"/>
        <v>#DIV/0!</v>
      </c>
      <c r="F15" s="12">
        <v>30.637</v>
      </c>
      <c r="G15" s="2" t="e">
        <f t="shared" si="20"/>
        <v>#DIV/0!</v>
      </c>
      <c r="H15" s="2" t="e">
        <f t="shared" si="21"/>
        <v>#DIV/0!</v>
      </c>
      <c r="I15" s="33">
        <v>2.0068000000000001</v>
      </c>
      <c r="J15" s="5" t="e">
        <f t="shared" si="2"/>
        <v>#DIV/0!</v>
      </c>
      <c r="K15" s="14">
        <v>3251.9</v>
      </c>
      <c r="L15" s="2" t="e">
        <f t="shared" si="12"/>
        <v>#DIV/0!</v>
      </c>
      <c r="M15" s="14">
        <v>3000</v>
      </c>
      <c r="N15" s="35" t="e">
        <f t="shared" si="3"/>
        <v>#DIV/0!</v>
      </c>
      <c r="O15" s="13">
        <v>4.41E-2</v>
      </c>
      <c r="P15" s="5" t="e">
        <f t="shared" si="18"/>
        <v>#DIV/0!</v>
      </c>
      <c r="Q15" t="s">
        <v>6</v>
      </c>
      <c r="R15" s="56" t="e">
        <f t="shared" si="5"/>
        <v>#DIV/0!</v>
      </c>
      <c r="S15" s="2" t="e">
        <f t="shared" si="13"/>
        <v>#DIV/0!</v>
      </c>
      <c r="T15" s="13">
        <v>4.41E-2</v>
      </c>
      <c r="U15" t="e">
        <f t="shared" si="6"/>
        <v>#DIV/0!</v>
      </c>
      <c r="V15" s="12">
        <v>2.0068000000000001</v>
      </c>
      <c r="W15" t="e">
        <f t="shared" si="7"/>
        <v>#DIV/0!</v>
      </c>
      <c r="X15" s="12">
        <v>58.122199999999999</v>
      </c>
      <c r="Y15" s="56" t="e">
        <f t="shared" si="8"/>
        <v>#DIV/0!</v>
      </c>
      <c r="Z15" s="56" t="e">
        <f t="shared" si="9"/>
        <v>#DIV/0!</v>
      </c>
      <c r="AA15" s="52" t="e">
        <f t="shared" si="10"/>
        <v>#DIV/0!</v>
      </c>
    </row>
    <row r="16" spans="1:27" x14ac:dyDescent="0.25">
      <c r="A16" t="s">
        <v>7</v>
      </c>
      <c r="B16" s="47">
        <v>0</v>
      </c>
      <c r="C16" s="64" t="e">
        <f t="shared" si="16"/>
        <v>#DIV/0!</v>
      </c>
      <c r="D16" s="65" t="e">
        <f t="shared" si="19"/>
        <v>#DIV/0!</v>
      </c>
      <c r="E16" s="56" t="e">
        <f t="shared" si="1"/>
        <v>#DIV/0!</v>
      </c>
      <c r="F16" s="12">
        <v>31.800999999999998</v>
      </c>
      <c r="G16" s="2" t="e">
        <f t="shared" si="20"/>
        <v>#DIV/0!</v>
      </c>
      <c r="H16" s="2" t="e">
        <f t="shared" si="21"/>
        <v>#DIV/0!</v>
      </c>
      <c r="I16" s="33">
        <v>2.0068000000000001</v>
      </c>
      <c r="J16" s="5" t="e">
        <f t="shared" si="2"/>
        <v>#DIV/0!</v>
      </c>
      <c r="K16" s="14">
        <v>3262.3</v>
      </c>
      <c r="L16" s="2" t="e">
        <f t="shared" si="12"/>
        <v>#DIV/0!</v>
      </c>
      <c r="M16" s="14">
        <v>3011</v>
      </c>
      <c r="N16" s="35" t="e">
        <f t="shared" si="3"/>
        <v>#DIV/0!</v>
      </c>
      <c r="O16" s="13">
        <v>4.7E-2</v>
      </c>
      <c r="P16" s="5" t="e">
        <f t="shared" si="18"/>
        <v>#DIV/0!</v>
      </c>
      <c r="Q16" t="s">
        <v>7</v>
      </c>
      <c r="R16" s="56" t="e">
        <f t="shared" si="5"/>
        <v>#DIV/0!</v>
      </c>
      <c r="S16" s="2" t="e">
        <f t="shared" si="13"/>
        <v>#DIV/0!</v>
      </c>
      <c r="T16" s="13">
        <v>4.7E-2</v>
      </c>
      <c r="U16" t="e">
        <f t="shared" si="6"/>
        <v>#DIV/0!</v>
      </c>
      <c r="V16" s="12">
        <v>2.0068000000000001</v>
      </c>
      <c r="W16" t="e">
        <f t="shared" si="7"/>
        <v>#DIV/0!</v>
      </c>
      <c r="X16" s="12">
        <v>58.122199999999999</v>
      </c>
      <c r="Y16" s="56" t="e">
        <f t="shared" si="8"/>
        <v>#DIV/0!</v>
      </c>
      <c r="Z16" s="56" t="e">
        <f t="shared" si="9"/>
        <v>#DIV/0!</v>
      </c>
      <c r="AA16" s="52" t="e">
        <f t="shared" si="10"/>
        <v>#DIV/0!</v>
      </c>
    </row>
    <row r="17" spans="1:27" x14ac:dyDescent="0.25">
      <c r="A17" t="s">
        <v>8</v>
      </c>
      <c r="B17" s="47">
        <v>0</v>
      </c>
      <c r="C17" s="64" t="e">
        <f t="shared" si="16"/>
        <v>#DIV/0!</v>
      </c>
      <c r="D17" s="65" t="e">
        <f t="shared" ref="D17:D18" si="22">C17</f>
        <v>#DIV/0!</v>
      </c>
      <c r="E17" s="56" t="e">
        <f t="shared" si="1"/>
        <v>#DIV/0!</v>
      </c>
      <c r="F17" s="12">
        <v>27.414000000000001</v>
      </c>
      <c r="G17" s="2" t="e">
        <f t="shared" si="20"/>
        <v>#DIV/0!</v>
      </c>
      <c r="H17" s="2" t="e">
        <f t="shared" si="21"/>
        <v>#DIV/0!</v>
      </c>
      <c r="I17" s="33">
        <v>2.4910999999999999</v>
      </c>
      <c r="J17" s="5" t="e">
        <f t="shared" si="2"/>
        <v>#DIV/0!</v>
      </c>
      <c r="K17" s="14">
        <v>4000.9</v>
      </c>
      <c r="L17" s="2" t="e">
        <f t="shared" si="12"/>
        <v>#DIV/0!</v>
      </c>
      <c r="M17" s="14">
        <v>3699</v>
      </c>
      <c r="N17" s="35" t="e">
        <f t="shared" si="3"/>
        <v>#DIV/0!</v>
      </c>
      <c r="O17" s="13">
        <v>5.7599999999999998E-2</v>
      </c>
      <c r="P17" s="5" t="e">
        <f t="shared" si="18"/>
        <v>#DIV/0!</v>
      </c>
      <c r="Q17" t="s">
        <v>8</v>
      </c>
      <c r="R17" s="56" t="e">
        <f t="shared" si="5"/>
        <v>#DIV/0!</v>
      </c>
      <c r="S17" s="2" t="e">
        <f t="shared" si="13"/>
        <v>#DIV/0!</v>
      </c>
      <c r="T17" s="13">
        <v>5.7599999999999998E-2</v>
      </c>
      <c r="U17" t="e">
        <f t="shared" si="6"/>
        <v>#DIV/0!</v>
      </c>
      <c r="V17" s="12">
        <v>2.4910999999999999</v>
      </c>
      <c r="W17" s="5" t="e">
        <f t="shared" si="7"/>
        <v>#DIV/0!</v>
      </c>
      <c r="X17" s="12">
        <v>72.148799999999994</v>
      </c>
      <c r="Y17" s="56" t="e">
        <f t="shared" si="8"/>
        <v>#DIV/0!</v>
      </c>
      <c r="Z17" s="56" t="e">
        <f t="shared" si="9"/>
        <v>#DIV/0!</v>
      </c>
      <c r="AA17" s="52" t="e">
        <f t="shared" si="10"/>
        <v>#DIV/0!</v>
      </c>
    </row>
    <row r="18" spans="1:27" x14ac:dyDescent="0.25">
      <c r="A18" t="s">
        <v>9</v>
      </c>
      <c r="B18" s="47">
        <v>0</v>
      </c>
      <c r="C18" s="64" t="e">
        <f t="shared" si="16"/>
        <v>#DIV/0!</v>
      </c>
      <c r="D18" s="65" t="e">
        <f t="shared" si="22"/>
        <v>#DIV/0!</v>
      </c>
      <c r="E18" s="56" t="e">
        <f t="shared" si="1"/>
        <v>#DIV/0!</v>
      </c>
      <c r="F18" s="12">
        <v>27.658000000000001</v>
      </c>
      <c r="G18" s="2" t="e">
        <f t="shared" si="20"/>
        <v>#DIV/0!</v>
      </c>
      <c r="H18" s="2" t="e">
        <f t="shared" si="21"/>
        <v>#DIV/0!</v>
      </c>
      <c r="I18" s="33">
        <v>2.4910999999999999</v>
      </c>
      <c r="J18" s="5" t="e">
        <f t="shared" si="2"/>
        <v>#DIV/0!</v>
      </c>
      <c r="K18" s="14">
        <v>4008.7</v>
      </c>
      <c r="L18" s="2" t="e">
        <f t="shared" si="12"/>
        <v>#DIV/0!</v>
      </c>
      <c r="M18" s="14">
        <v>3707</v>
      </c>
      <c r="N18" s="35" t="e">
        <f t="shared" si="3"/>
        <v>#DIV/0!</v>
      </c>
      <c r="O18" s="13">
        <v>6.0600000000000001E-2</v>
      </c>
      <c r="P18" s="5" t="e">
        <f t="shared" si="18"/>
        <v>#DIV/0!</v>
      </c>
      <c r="Q18" t="s">
        <v>9</v>
      </c>
      <c r="R18" s="56" t="e">
        <f t="shared" si="5"/>
        <v>#DIV/0!</v>
      </c>
      <c r="S18" s="2" t="e">
        <f t="shared" si="13"/>
        <v>#DIV/0!</v>
      </c>
      <c r="T18" s="13">
        <v>6.0600000000000001E-2</v>
      </c>
      <c r="U18" t="e">
        <f t="shared" si="6"/>
        <v>#DIV/0!</v>
      </c>
      <c r="V18" s="12">
        <v>2.4910999999999999</v>
      </c>
      <c r="W18" t="e">
        <f t="shared" si="7"/>
        <v>#DIV/0!</v>
      </c>
      <c r="X18" s="12">
        <v>72.148799999999994</v>
      </c>
      <c r="Y18" s="56" t="e">
        <f t="shared" si="8"/>
        <v>#DIV/0!</v>
      </c>
      <c r="Z18" s="56" t="e">
        <f t="shared" si="9"/>
        <v>#DIV/0!</v>
      </c>
      <c r="AA18" s="52" t="e">
        <f t="shared" si="10"/>
        <v>#DIV/0!</v>
      </c>
    </row>
    <row r="19" spans="1:27" x14ac:dyDescent="0.25">
      <c r="A19" t="s">
        <v>10</v>
      </c>
      <c r="B19" s="47">
        <v>0</v>
      </c>
      <c r="C19" s="64" t="e">
        <f t="shared" si="16"/>
        <v>#DIV/0!</v>
      </c>
      <c r="D19" s="65" t="e">
        <f>C19</f>
        <v>#DIV/0!</v>
      </c>
      <c r="E19" s="56" t="e">
        <f>ROUND(D19/100,6)</f>
        <v>#DIV/0!</v>
      </c>
      <c r="F19" s="40">
        <f>C26</f>
        <v>23.103999999999999</v>
      </c>
      <c r="G19" s="2" t="e">
        <f>ROUND(E19/F19*1000*($G$1/14.696),3)</f>
        <v>#DIV/0!</v>
      </c>
      <c r="H19" s="2" t="e">
        <f t="shared" si="21"/>
        <v>#DIV/0!</v>
      </c>
      <c r="I19" s="38">
        <f>D26</f>
        <v>3.2175500000000001</v>
      </c>
      <c r="J19" s="5" t="e">
        <f>ROUND(E19*I19,5)</f>
        <v>#DIV/0!</v>
      </c>
      <c r="K19" s="42">
        <f>E26</f>
        <v>5129.2199999999993</v>
      </c>
      <c r="L19" s="2" t="e">
        <f t="shared" si="12"/>
        <v>#DIV/0!</v>
      </c>
      <c r="M19" s="82">
        <f>F26</f>
        <v>4752</v>
      </c>
      <c r="N19" s="35" t="e">
        <f t="shared" si="3"/>
        <v>#DIV/0!</v>
      </c>
      <c r="O19" s="39">
        <f>G26</f>
        <v>8.6369999999999988E-2</v>
      </c>
      <c r="P19" s="5" t="e">
        <f>ROUND(E19*O19,5)</f>
        <v>#DIV/0!</v>
      </c>
      <c r="Q19" t="s">
        <v>10</v>
      </c>
      <c r="R19" s="56" t="e">
        <f>ROUND(E19*(1-$R$6),6)</f>
        <v>#DIV/0!</v>
      </c>
      <c r="S19" s="2" t="e">
        <f t="shared" si="13"/>
        <v>#DIV/0!</v>
      </c>
      <c r="T19" s="39">
        <f>G26</f>
        <v>8.6369999999999988E-2</v>
      </c>
      <c r="U19" t="e">
        <f>ROUND(R19*T19,5)</f>
        <v>#DIV/0!</v>
      </c>
      <c r="V19" s="38">
        <f>D26</f>
        <v>3.2175500000000001</v>
      </c>
      <c r="W19" t="e">
        <f>ROUND(R19*V19,5)</f>
        <v>#DIV/0!</v>
      </c>
      <c r="X19" s="38">
        <f>H26</f>
        <v>93.188659999999985</v>
      </c>
      <c r="Y19" s="56" t="e">
        <f t="shared" si="8"/>
        <v>#DIV/0!</v>
      </c>
      <c r="Z19" s="56" t="e">
        <f t="shared" si="9"/>
        <v>#DIV/0!</v>
      </c>
      <c r="AA19" s="52" t="e">
        <f>ROUND(Z19*100,4)</f>
        <v>#DIV/0!</v>
      </c>
    </row>
    <row r="20" spans="1:27" x14ac:dyDescent="0.25">
      <c r="A20" s="1" t="s">
        <v>11</v>
      </c>
      <c r="B20" s="9">
        <f>SUM(B7:B19)</f>
        <v>0</v>
      </c>
      <c r="C20" s="54" t="e">
        <f>SUM(C7:C19)</f>
        <v>#DIV/0!</v>
      </c>
      <c r="D20" s="55" t="e">
        <f>SUM(D7:D19)</f>
        <v>#DIV/0!</v>
      </c>
      <c r="E20" s="57" t="e">
        <f>SUM(E7:E19)</f>
        <v>#DIV/0!</v>
      </c>
      <c r="G20" s="6" t="e">
        <f>ROUND(SUM(G7:G19),3)</f>
        <v>#DIV/0!</v>
      </c>
      <c r="H20" s="6" t="e">
        <f>SUM(H7:H19)</f>
        <v>#DIV/0!</v>
      </c>
      <c r="J20" s="15" t="e">
        <f>ROUND(SUM(J7:J19),5)</f>
        <v>#DIV/0!</v>
      </c>
      <c r="L20" s="6" t="e">
        <f>ROUND(SUM(L7:L19)*($G$1/14.696),3)</f>
        <v>#DIV/0!</v>
      </c>
      <c r="M20" s="36"/>
      <c r="N20" s="36" t="e">
        <f>ROUND(SUM(N7:N19)*($G$1/14.696),1)</f>
        <v>#DIV/0!</v>
      </c>
      <c r="P20" s="15" t="e">
        <f>ROUND(SUM(P7:P19),5)</f>
        <v>#DIV/0!</v>
      </c>
      <c r="R20" s="57" t="e">
        <f>SUM(R6:R19)</f>
        <v>#DIV/0!</v>
      </c>
      <c r="S20" s="6" t="e">
        <f>ROUND(SUM(S6:S19)*($G$1/14.696),3)</f>
        <v>#DIV/0!</v>
      </c>
      <c r="U20" s="15" t="e">
        <f>ROUND(SUM(U6:U19),5)</f>
        <v>#DIV/0!</v>
      </c>
      <c r="V20" s="15"/>
      <c r="W20" s="1" t="e">
        <f>SUM(W6:W19)</f>
        <v>#DIV/0!</v>
      </c>
      <c r="Y20" s="57" t="e">
        <f>SUM(Y7:Y19)</f>
        <v>#DIV/0!</v>
      </c>
      <c r="Z20" s="57" t="e">
        <f>SUM(Z7:Z19)</f>
        <v>#DIV/0!</v>
      </c>
      <c r="AA20" s="55" t="e">
        <f>SUM(AA7:AA19)</f>
        <v>#DIV/0!</v>
      </c>
    </row>
    <row r="21" spans="1:27" x14ac:dyDescent="0.25">
      <c r="C21" s="63" t="e">
        <f>100-C20</f>
        <v>#DIV/0!</v>
      </c>
      <c r="D21" s="1" t="s">
        <v>19</v>
      </c>
      <c r="E21" s="1" t="s">
        <v>184</v>
      </c>
      <c r="F21" s="1" t="s">
        <v>254</v>
      </c>
      <c r="G21" s="1" t="s">
        <v>28</v>
      </c>
      <c r="H21" s="1" t="s">
        <v>85</v>
      </c>
      <c r="K21" t="s">
        <v>88</v>
      </c>
      <c r="L21">
        <f>ROUND(1-0.005^2*$G$1,4)</f>
        <v>0.99960000000000004</v>
      </c>
      <c r="Z21" s="33" t="e">
        <f>100-Z20*100</f>
        <v>#DIV/0!</v>
      </c>
    </row>
    <row r="22" spans="1:27" x14ac:dyDescent="0.25">
      <c r="B22" s="1" t="s">
        <v>83</v>
      </c>
      <c r="C22" s="1" t="s">
        <v>20</v>
      </c>
      <c r="D22" s="1" t="s">
        <v>84</v>
      </c>
      <c r="E22" s="1" t="s">
        <v>26</v>
      </c>
      <c r="F22" s="1" t="s">
        <v>26</v>
      </c>
      <c r="G22" s="1" t="s">
        <v>13</v>
      </c>
      <c r="H22" s="1" t="s">
        <v>86</v>
      </c>
    </row>
    <row r="23" spans="1:27" x14ac:dyDescent="0.25">
      <c r="A23" t="s">
        <v>80</v>
      </c>
      <c r="B23">
        <v>0.6</v>
      </c>
      <c r="C23" s="45">
        <v>24.38</v>
      </c>
      <c r="D23" s="12">
        <v>2.9754</v>
      </c>
      <c r="E23" s="12">
        <v>4755.8999999999996</v>
      </c>
      <c r="F23" s="12">
        <v>4404</v>
      </c>
      <c r="G23" s="12">
        <v>7.7600000000000002E-2</v>
      </c>
      <c r="H23" s="12">
        <v>86.175399999999996</v>
      </c>
      <c r="K23" s="11" t="s">
        <v>33</v>
      </c>
      <c r="L23" s="52" t="e">
        <f>ROUND(1-(P20^2*$G$1),4)</f>
        <v>#DIV/0!</v>
      </c>
      <c r="N23" s="11" t="s">
        <v>35</v>
      </c>
      <c r="O23" s="52" t="e">
        <f>ROUND(1-(U20^2*$G$1),4)</f>
        <v>#DIV/0!</v>
      </c>
    </row>
    <row r="24" spans="1:27" x14ac:dyDescent="0.25">
      <c r="A24" t="s">
        <v>81</v>
      </c>
      <c r="B24">
        <v>0.3</v>
      </c>
      <c r="C24" s="45">
        <v>21.73</v>
      </c>
      <c r="D24" s="12">
        <v>3.4597000000000002</v>
      </c>
      <c r="E24" s="12">
        <v>5502.6</v>
      </c>
      <c r="F24" s="12">
        <v>5100</v>
      </c>
      <c r="G24" s="12">
        <v>9.5100000000000004E-2</v>
      </c>
      <c r="H24" s="12">
        <v>100.20189999999999</v>
      </c>
      <c r="K24" s="11" t="s">
        <v>29</v>
      </c>
      <c r="L24" s="2" t="e">
        <f>H20</f>
        <v>#DIV/0!</v>
      </c>
    </row>
    <row r="25" spans="1:27" x14ac:dyDescent="0.25">
      <c r="A25" t="s">
        <v>82</v>
      </c>
      <c r="B25">
        <v>0.1</v>
      </c>
      <c r="C25" s="45">
        <v>19.57</v>
      </c>
      <c r="D25" s="12">
        <v>3.944</v>
      </c>
      <c r="E25" s="12">
        <v>6249</v>
      </c>
      <c r="F25" s="12">
        <v>5796</v>
      </c>
      <c r="G25" s="12">
        <v>0.1128</v>
      </c>
      <c r="H25" s="12">
        <v>114.2285</v>
      </c>
      <c r="K25" s="11" t="s">
        <v>74</v>
      </c>
      <c r="L25" s="2" t="e">
        <f>H20-H13</f>
        <v>#DIV/0!</v>
      </c>
    </row>
    <row r="26" spans="1:27" x14ac:dyDescent="0.25">
      <c r="A26" s="1" t="s">
        <v>11</v>
      </c>
      <c r="C26" s="40">
        <f t="shared" ref="C26:H26" si="23">$B$23*C23+$B$24*C24+$B$25*C25</f>
        <v>23.103999999999999</v>
      </c>
      <c r="D26" s="38">
        <f t="shared" si="23"/>
        <v>3.2175500000000001</v>
      </c>
      <c r="E26" s="42">
        <f t="shared" si="23"/>
        <v>5129.2199999999993</v>
      </c>
      <c r="F26" s="42">
        <f t="shared" si="23"/>
        <v>4752</v>
      </c>
      <c r="G26" s="38">
        <f t="shared" si="23"/>
        <v>8.6369999999999988E-2</v>
      </c>
      <c r="H26" s="38">
        <f t="shared" si="23"/>
        <v>93.188659999999985</v>
      </c>
      <c r="K26" s="11" t="s">
        <v>157</v>
      </c>
      <c r="L26" s="2" t="e">
        <f>H20-H13-H14-H15-H16</f>
        <v>#DIV/0!</v>
      </c>
    </row>
    <row r="27" spans="1:27" x14ac:dyDescent="0.25">
      <c r="K27" s="11" t="s">
        <v>30</v>
      </c>
      <c r="L27" s="52" t="e">
        <f>ROUND(J20/L23*$L$21,4)</f>
        <v>#DIV/0!</v>
      </c>
      <c r="N27" s="11" t="s">
        <v>91</v>
      </c>
      <c r="O27" s="52" t="e">
        <f>ROUND(W20*L21/O23,4)</f>
        <v>#DIV/0!</v>
      </c>
    </row>
    <row r="28" spans="1:27" x14ac:dyDescent="0.25">
      <c r="K28" s="11" t="s">
        <v>34</v>
      </c>
      <c r="L28" s="2" t="e">
        <f>ROUND(L20/L23,3)</f>
        <v>#DIV/0!</v>
      </c>
      <c r="N28" s="11" t="s">
        <v>36</v>
      </c>
      <c r="O28" s="2" t="e">
        <f>ROUND(S20/O23,3)</f>
        <v>#DIV/0!</v>
      </c>
      <c r="R28" s="11"/>
    </row>
    <row r="29" spans="1:27" x14ac:dyDescent="0.25">
      <c r="K29" s="11" t="s">
        <v>90</v>
      </c>
      <c r="L29" t="e">
        <f>ROUND(($G$1/14.696)*L19/L23,1)</f>
        <v>#DIV/0!</v>
      </c>
    </row>
    <row r="31" spans="1:27" x14ac:dyDescent="0.25">
      <c r="J31" s="11"/>
    </row>
  </sheetData>
  <mergeCells count="1">
    <mergeCell ref="B2:C2"/>
  </mergeCells>
  <dataValidations count="1">
    <dataValidation type="list" allowBlank="1" showInputMessage="1" showErrorMessage="1" sqref="G1">
      <formula1>$D$1:$D$4</formula1>
    </dataValidation>
  </dataValidations>
  <pageMargins left="0.7" right="0.7" top="0.75" bottom="0.75" header="0.3" footer="0.3"/>
  <pageSetup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J45"/>
  <sheetViews>
    <sheetView tabSelected="1" view="pageLayout" zoomScale="80" zoomScaleNormal="100" zoomScalePageLayoutView="80" workbookViewId="0">
      <selection activeCell="N5" sqref="N5"/>
    </sheetView>
  </sheetViews>
  <sheetFormatPr defaultRowHeight="15" x14ac:dyDescent="0.25"/>
  <cols>
    <col min="1" max="1" width="9.7109375" customWidth="1"/>
    <col min="2" max="2" width="9.5703125" bestFit="1" customWidth="1"/>
    <col min="3" max="3" width="10.42578125" customWidth="1"/>
    <col min="4" max="4" width="11.140625" customWidth="1"/>
    <col min="5" max="5" width="13.5703125" customWidth="1"/>
    <col min="6" max="6" width="6.7109375" customWidth="1"/>
    <col min="7" max="7" width="12.42578125" customWidth="1"/>
    <col min="9" max="9" width="9.7109375" bestFit="1" customWidth="1"/>
  </cols>
  <sheetData>
    <row r="1" spans="1:10" ht="15.75" x14ac:dyDescent="0.25">
      <c r="A1" s="16"/>
      <c r="B1" s="16"/>
      <c r="C1" s="16"/>
      <c r="D1" s="16"/>
      <c r="E1" s="89"/>
      <c r="F1" s="16"/>
      <c r="G1" s="16"/>
      <c r="H1" s="66" t="s">
        <v>250</v>
      </c>
      <c r="I1" s="22"/>
      <c r="J1" s="21"/>
    </row>
    <row r="2" spans="1:10" ht="15.75" x14ac:dyDescent="0.25">
      <c r="A2" s="16"/>
      <c r="B2" s="16"/>
      <c r="C2" s="16"/>
      <c r="D2" s="16"/>
      <c r="E2" s="16"/>
      <c r="F2" s="16"/>
      <c r="G2" s="16"/>
      <c r="H2" s="66" t="s">
        <v>52</v>
      </c>
      <c r="I2" s="22"/>
      <c r="J2" s="21"/>
    </row>
    <row r="3" spans="1:10" ht="15.75" x14ac:dyDescent="0.25">
      <c r="A3" s="16"/>
      <c r="B3" s="16"/>
      <c r="C3" s="16"/>
      <c r="D3" s="16"/>
      <c r="E3" s="89"/>
      <c r="F3" s="16"/>
      <c r="G3" s="16"/>
      <c r="H3" s="66" t="s">
        <v>53</v>
      </c>
      <c r="I3" s="22"/>
      <c r="J3" s="21"/>
    </row>
    <row r="4" spans="1:10" ht="15.75" x14ac:dyDescent="0.25">
      <c r="A4" s="16"/>
      <c r="B4" s="16"/>
      <c r="C4" s="16"/>
      <c r="D4" s="16"/>
      <c r="E4" s="16"/>
      <c r="F4" s="16"/>
      <c r="G4" s="16"/>
      <c r="H4" s="66" t="s">
        <v>54</v>
      </c>
      <c r="I4" s="22"/>
      <c r="J4" s="21"/>
    </row>
    <row r="5" spans="1:10" ht="18" customHeight="1" x14ac:dyDescent="0.55000000000000004">
      <c r="A5" s="20" t="s">
        <v>78</v>
      </c>
      <c r="B5" s="16"/>
      <c r="C5" s="16"/>
      <c r="D5" s="16"/>
      <c r="E5" s="16"/>
      <c r="F5" s="16"/>
      <c r="G5" s="16"/>
      <c r="H5" s="16"/>
      <c r="I5" s="16"/>
      <c r="J5" s="16"/>
    </row>
    <row r="6" spans="1:10" ht="15.75" x14ac:dyDescent="0.25">
      <c r="A6" s="24" t="s">
        <v>55</v>
      </c>
      <c r="B6" s="16"/>
      <c r="C6" s="16"/>
      <c r="D6" s="16"/>
      <c r="E6" s="16"/>
      <c r="F6" s="16"/>
      <c r="G6" s="16"/>
      <c r="H6" s="24" t="s">
        <v>58</v>
      </c>
      <c r="I6" s="16"/>
      <c r="J6" s="16"/>
    </row>
    <row r="7" spans="1:10" x14ac:dyDescent="0.25">
      <c r="A7" s="16"/>
      <c r="B7" s="16"/>
      <c r="C7" s="16"/>
      <c r="D7" s="16"/>
      <c r="E7" s="16"/>
      <c r="F7" s="16"/>
      <c r="G7" s="16"/>
      <c r="H7" s="90" t="s">
        <v>272</v>
      </c>
      <c r="I7" s="16"/>
      <c r="J7" s="16"/>
    </row>
    <row r="8" spans="1:10" x14ac:dyDescent="0.25">
      <c r="A8" s="25" t="s">
        <v>57</v>
      </c>
      <c r="B8" s="92"/>
      <c r="C8" s="16"/>
      <c r="D8" s="25" t="s">
        <v>69</v>
      </c>
      <c r="E8" s="91">
        <v>46320.666666666664</v>
      </c>
      <c r="F8" s="16"/>
      <c r="G8" s="16"/>
      <c r="H8" s="90" t="s">
        <v>269</v>
      </c>
      <c r="I8" s="16"/>
      <c r="J8" s="16"/>
    </row>
    <row r="9" spans="1:10" x14ac:dyDescent="0.25">
      <c r="A9" s="25" t="s">
        <v>56</v>
      </c>
      <c r="B9" s="93"/>
      <c r="C9" s="16"/>
      <c r="D9" s="16"/>
      <c r="E9" s="89"/>
      <c r="F9" s="16"/>
      <c r="G9" s="16"/>
      <c r="H9" s="89" t="s">
        <v>265</v>
      </c>
      <c r="I9" s="16"/>
      <c r="J9" s="16"/>
    </row>
    <row r="10" spans="1:10" x14ac:dyDescent="0.25">
      <c r="A10" s="25" t="s">
        <v>65</v>
      </c>
      <c r="B10" s="93"/>
      <c r="C10" s="16"/>
      <c r="D10" s="25" t="s">
        <v>70</v>
      </c>
      <c r="E10" s="90" t="s">
        <v>160</v>
      </c>
      <c r="F10" s="16"/>
      <c r="G10" s="16"/>
      <c r="H10" s="89" t="s">
        <v>266</v>
      </c>
      <c r="I10" s="16"/>
      <c r="J10" s="16"/>
    </row>
    <row r="11" spans="1:10" ht="17.25" customHeight="1" x14ac:dyDescent="0.55000000000000004">
      <c r="A11" s="20" t="s">
        <v>78</v>
      </c>
      <c r="B11" s="16"/>
      <c r="C11" s="16"/>
      <c r="D11" s="16"/>
      <c r="E11" s="16"/>
      <c r="F11" s="16"/>
      <c r="G11" s="16"/>
      <c r="H11" s="16"/>
      <c r="I11" s="16"/>
      <c r="J11" s="16"/>
    </row>
    <row r="12" spans="1:10" ht="15.75" x14ac:dyDescent="0.25">
      <c r="A12" s="24" t="s">
        <v>59</v>
      </c>
      <c r="B12" s="16"/>
      <c r="C12" s="16"/>
      <c r="D12" s="16"/>
      <c r="E12" s="16"/>
      <c r="F12" s="16"/>
      <c r="G12" s="16"/>
      <c r="H12" s="16"/>
      <c r="I12" s="16"/>
      <c r="J12" s="16"/>
    </row>
    <row r="13" spans="1:10" x14ac:dyDescent="0.25">
      <c r="A13" s="25" t="s">
        <v>60</v>
      </c>
      <c r="C13" s="90"/>
      <c r="D13" s="16"/>
      <c r="E13" s="25" t="s">
        <v>62</v>
      </c>
      <c r="F13" s="16"/>
      <c r="G13" s="93"/>
      <c r="H13" s="16"/>
      <c r="I13" s="16"/>
      <c r="J13" s="16"/>
    </row>
    <row r="14" spans="1:10" x14ac:dyDescent="0.25">
      <c r="A14" s="25" t="s">
        <v>61</v>
      </c>
      <c r="B14" s="16"/>
      <c r="C14" s="90"/>
      <c r="D14" s="16"/>
      <c r="E14" s="25" t="s">
        <v>392</v>
      </c>
      <c r="F14" s="16"/>
      <c r="G14" s="96"/>
      <c r="H14" s="16"/>
      <c r="I14" s="16"/>
      <c r="J14" s="16"/>
    </row>
    <row r="15" spans="1:10" x14ac:dyDescent="0.25">
      <c r="A15" s="25" t="s">
        <v>251</v>
      </c>
      <c r="B15" s="16"/>
      <c r="C15" s="94"/>
      <c r="D15" s="16"/>
      <c r="E15" s="25" t="s">
        <v>63</v>
      </c>
      <c r="F15" s="16"/>
      <c r="G15" s="93"/>
      <c r="H15" s="80" t="s">
        <v>243</v>
      </c>
      <c r="I15" s="16"/>
    </row>
    <row r="16" spans="1:10" x14ac:dyDescent="0.25">
      <c r="A16" s="25" t="s">
        <v>261</v>
      </c>
      <c r="B16" s="16"/>
      <c r="C16" s="90" t="s">
        <v>263</v>
      </c>
      <c r="D16" s="16"/>
      <c r="E16" s="25" t="s">
        <v>267</v>
      </c>
      <c r="F16" s="16"/>
      <c r="G16" s="93"/>
      <c r="H16" s="16" t="s">
        <v>158</v>
      </c>
      <c r="I16" s="16"/>
      <c r="J16" s="16"/>
    </row>
    <row r="17" spans="1:10" x14ac:dyDescent="0.25">
      <c r="A17" s="83" t="s">
        <v>262</v>
      </c>
      <c r="B17" s="80"/>
      <c r="C17" s="95">
        <f>E8</f>
        <v>46320.666666666664</v>
      </c>
      <c r="D17" s="16"/>
      <c r="E17" s="25" t="s">
        <v>268</v>
      </c>
      <c r="G17" s="92"/>
      <c r="H17" s="16" t="s">
        <v>158</v>
      </c>
      <c r="I17" s="16"/>
      <c r="J17" s="16"/>
    </row>
    <row r="18" spans="1:10" x14ac:dyDescent="0.25">
      <c r="A18" s="25" t="s">
        <v>264</v>
      </c>
      <c r="B18" s="16"/>
      <c r="C18" s="89" t="s">
        <v>273</v>
      </c>
      <c r="D18" s="80"/>
      <c r="E18" s="25" t="s">
        <v>161</v>
      </c>
      <c r="F18" s="90"/>
      <c r="G18" s="16" t="s">
        <v>162</v>
      </c>
      <c r="H18" s="25" t="s">
        <v>89</v>
      </c>
      <c r="I18" s="98"/>
      <c r="J18" s="16" t="s">
        <v>278</v>
      </c>
    </row>
    <row r="19" spans="1:10" x14ac:dyDescent="0.25">
      <c r="A19" s="25" t="s">
        <v>260</v>
      </c>
      <c r="B19" s="80"/>
      <c r="C19" s="90" t="s">
        <v>270</v>
      </c>
      <c r="D19" s="80"/>
      <c r="E19" s="25" t="s">
        <v>64</v>
      </c>
      <c r="F19" s="16"/>
      <c r="G19" s="92" t="s">
        <v>276</v>
      </c>
      <c r="H19" s="25" t="s">
        <v>275</v>
      </c>
      <c r="I19" s="89"/>
      <c r="J19" s="16"/>
    </row>
    <row r="20" spans="1:10" x14ac:dyDescent="0.25">
      <c r="A20" s="25" t="s">
        <v>159</v>
      </c>
      <c r="B20" s="16"/>
      <c r="C20" s="16"/>
      <c r="D20" s="80"/>
      <c r="E20" s="25" t="s">
        <v>271</v>
      </c>
      <c r="F20" s="16"/>
      <c r="G20" s="97">
        <v>46143</v>
      </c>
      <c r="H20" s="25" t="s">
        <v>274</v>
      </c>
      <c r="I20" s="99">
        <v>46173</v>
      </c>
      <c r="J20" s="16"/>
    </row>
    <row r="21" spans="1:10" ht="16.5" customHeight="1" x14ac:dyDescent="0.55000000000000004">
      <c r="A21" s="20" t="s">
        <v>78</v>
      </c>
      <c r="B21" s="16"/>
      <c r="C21" s="16"/>
      <c r="D21" s="16"/>
      <c r="E21" s="25"/>
      <c r="F21" s="80"/>
      <c r="G21" s="16"/>
      <c r="H21" s="25"/>
      <c r="I21" s="81"/>
      <c r="J21" s="16"/>
    </row>
    <row r="22" spans="1:10" ht="16.5" customHeight="1" x14ac:dyDescent="0.25">
      <c r="A22" s="80" t="s">
        <v>390</v>
      </c>
      <c r="B22" s="16"/>
      <c r="C22" s="16"/>
      <c r="D22" s="16"/>
      <c r="E22" s="16" t="s">
        <v>183</v>
      </c>
      <c r="F22" s="16"/>
      <c r="G22" s="16"/>
      <c r="H22" s="16"/>
      <c r="I22" s="16"/>
      <c r="J22" s="16"/>
    </row>
    <row r="23" spans="1:10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</row>
    <row r="24" spans="1:10" x14ac:dyDescent="0.25">
      <c r="A24" s="26" t="s">
        <v>66</v>
      </c>
      <c r="B24" s="26"/>
      <c r="C24" s="26" t="s">
        <v>258</v>
      </c>
      <c r="D24" s="16"/>
      <c r="E24" s="27" t="s">
        <v>259</v>
      </c>
      <c r="F24" s="16"/>
      <c r="G24" s="30" t="s">
        <v>51</v>
      </c>
      <c r="H24" s="16"/>
      <c r="I24" s="16"/>
      <c r="J24" s="16"/>
    </row>
    <row r="25" spans="1:10" x14ac:dyDescent="0.25">
      <c r="A25" s="16"/>
      <c r="B25" s="16"/>
      <c r="C25" s="16"/>
      <c r="D25" s="16"/>
      <c r="E25" s="18"/>
      <c r="F25" s="16"/>
      <c r="G25" s="18"/>
      <c r="H25" s="16"/>
      <c r="I25" s="16"/>
      <c r="J25" s="16"/>
    </row>
    <row r="26" spans="1:10" x14ac:dyDescent="0.25">
      <c r="A26" s="16" t="s">
        <v>255</v>
      </c>
      <c r="B26" s="16"/>
      <c r="C26" s="18">
        <v>0</v>
      </c>
      <c r="D26" s="16"/>
      <c r="E26" s="59">
        <f>'C6+ H2S'!D7</f>
        <v>0</v>
      </c>
      <c r="F26" s="16"/>
      <c r="G26" s="59" t="e">
        <f>'C6+ H2S'!AA7</f>
        <v>#DIV/0!</v>
      </c>
      <c r="H26" s="16"/>
      <c r="J26" s="16"/>
    </row>
    <row r="27" spans="1:10" x14ac:dyDescent="0.25">
      <c r="A27" s="16" t="s">
        <v>43</v>
      </c>
      <c r="B27" s="16"/>
      <c r="C27" s="18">
        <f>'C6+ H2S'!B9+'C6+ H2S'!B10</f>
        <v>0</v>
      </c>
      <c r="D27" s="16"/>
      <c r="E27" s="59" t="e">
        <f>IF('C6+ H2S'!D10+'C6+ H2S'!D9&gt;0,'C6+ H2S'!D10+'C6+ H2S'!D9,"ND")</f>
        <v>#DIV/0!</v>
      </c>
      <c r="F27" s="16"/>
      <c r="G27" s="59" t="e">
        <f>IF('C6+ H2S'!AA10+'C6+ H2S'!AA9&gt;0,'C6+ H2S'!AA10+'C6+ H2S'!AA9,"ND")</f>
        <v>#DIV/0!</v>
      </c>
      <c r="H27" s="16"/>
      <c r="I27" s="23"/>
      <c r="J27" s="16"/>
    </row>
    <row r="28" spans="1:10" x14ac:dyDescent="0.25">
      <c r="A28" s="16" t="s">
        <v>67</v>
      </c>
      <c r="B28" s="16"/>
      <c r="C28" s="18">
        <f>'C6+ H2S'!B12</f>
        <v>0</v>
      </c>
      <c r="D28" s="16"/>
      <c r="E28" s="59" t="e">
        <f>IF('C6+ H2S'!D12&gt;0,'C6+ H2S'!D12,"ND")</f>
        <v>#DIV/0!</v>
      </c>
      <c r="F28" s="16"/>
      <c r="G28" s="59" t="e">
        <f>IF('C6+ H2S'!AA12&gt;0,'C6+ H2S'!AA12,"ND")</f>
        <v>#DIV/0!</v>
      </c>
      <c r="H28" s="16"/>
      <c r="I28" s="17" t="s">
        <v>23</v>
      </c>
      <c r="J28" s="16"/>
    </row>
    <row r="29" spans="1:10" x14ac:dyDescent="0.25">
      <c r="A29" s="16" t="s">
        <v>44</v>
      </c>
      <c r="B29" s="16"/>
      <c r="C29" s="18">
        <f>'C6+ H2S'!B11</f>
        <v>0</v>
      </c>
      <c r="D29" s="16"/>
      <c r="E29" s="59" t="e">
        <f>IF('C6+ H2S'!D11&gt;0,'C6+ H2S'!D11,"ND")</f>
        <v>#DIV/0!</v>
      </c>
      <c r="F29" s="16"/>
      <c r="G29" s="59" t="e">
        <f>IF('C6+ H2S'!AA11&gt;0,'C6+ H2S'!AA11,"ND")</f>
        <v>#DIV/0!</v>
      </c>
      <c r="H29" s="16"/>
      <c r="I29" s="27" t="s">
        <v>71</v>
      </c>
      <c r="J29" s="16"/>
    </row>
    <row r="30" spans="1:10" x14ac:dyDescent="0.25">
      <c r="A30" s="16" t="s">
        <v>45</v>
      </c>
      <c r="B30" s="16"/>
      <c r="C30" s="18">
        <f>'C6+ H2S'!B13</f>
        <v>0</v>
      </c>
      <c r="D30" s="16"/>
      <c r="E30" s="59" t="e">
        <f>IF('C6+ H2S'!D13&gt;0,'C6+ H2S'!D13,"ND")</f>
        <v>#DIV/0!</v>
      </c>
      <c r="F30" s="16"/>
      <c r="G30" s="59" t="e">
        <f>IF('C6+ H2S'!AA13&gt;0,'C6+ H2S'!AA13,"ND")</f>
        <v>#DIV/0!</v>
      </c>
      <c r="H30" s="16"/>
      <c r="I30" s="29" t="e">
        <f>'C6+ H2S'!H13</f>
        <v>#DIV/0!</v>
      </c>
      <c r="J30" s="16"/>
    </row>
    <row r="31" spans="1:10" x14ac:dyDescent="0.25">
      <c r="A31" s="16" t="s">
        <v>46</v>
      </c>
      <c r="B31" s="16"/>
      <c r="C31" s="18">
        <f>'C6+ H2S'!B14</f>
        <v>0</v>
      </c>
      <c r="D31" s="16"/>
      <c r="E31" s="59" t="e">
        <f>IF('C6+ H2S'!D14&gt;0,'C6+ H2S'!D14,"ND")</f>
        <v>#DIV/0!</v>
      </c>
      <c r="F31" s="16"/>
      <c r="G31" s="59" t="e">
        <f>IF('C6+ H2S'!AA14&gt;0,'C6+ H2S'!AA14,"ND")</f>
        <v>#DIV/0!</v>
      </c>
      <c r="H31" s="16"/>
      <c r="I31" s="29" t="e">
        <f>'C6+ H2S'!H14</f>
        <v>#DIV/0!</v>
      </c>
      <c r="J31" s="16"/>
    </row>
    <row r="32" spans="1:10" x14ac:dyDescent="0.25">
      <c r="A32" s="16" t="s">
        <v>211</v>
      </c>
      <c r="B32" s="16"/>
      <c r="C32" s="18">
        <f>'C6+ H2S'!B15</f>
        <v>0</v>
      </c>
      <c r="D32" s="16"/>
      <c r="E32" s="59" t="e">
        <f>IF('C6+ H2S'!D15&gt;0,'C6+ H2S'!D15,"ND")</f>
        <v>#DIV/0!</v>
      </c>
      <c r="F32" s="16"/>
      <c r="G32" s="59" t="e">
        <f>IF('C6+ H2S'!AA15&gt;0,'C6+ H2S'!AA15,"ND")</f>
        <v>#DIV/0!</v>
      </c>
      <c r="H32" s="16"/>
      <c r="I32" s="29" t="e">
        <f>'C6+ H2S'!H15</f>
        <v>#DIV/0!</v>
      </c>
      <c r="J32" s="16"/>
    </row>
    <row r="33" spans="1:10" x14ac:dyDescent="0.25">
      <c r="A33" s="16" t="s">
        <v>47</v>
      </c>
      <c r="B33" s="16"/>
      <c r="C33" s="18">
        <f>'C6+ H2S'!B16</f>
        <v>0</v>
      </c>
      <c r="D33" s="16"/>
      <c r="E33" s="59" t="e">
        <f>IF('C6+ H2S'!D16&gt;0,'C6+ H2S'!D16,"ND")</f>
        <v>#DIV/0!</v>
      </c>
      <c r="F33" s="16"/>
      <c r="G33" s="59" t="e">
        <f>IF('C6+ H2S'!AA16&gt;0,'C6+ H2S'!AA16,"ND")</f>
        <v>#DIV/0!</v>
      </c>
      <c r="H33" s="16"/>
      <c r="I33" s="29" t="e">
        <f>'C6+ H2S'!H16</f>
        <v>#DIV/0!</v>
      </c>
      <c r="J33" s="16"/>
    </row>
    <row r="34" spans="1:10" x14ac:dyDescent="0.25">
      <c r="A34" s="16" t="s">
        <v>49</v>
      </c>
      <c r="B34" s="16"/>
      <c r="C34" s="18">
        <f>'C6+ H2S'!B17</f>
        <v>0</v>
      </c>
      <c r="D34" s="16"/>
      <c r="E34" s="59" t="e">
        <f>IF('C6+ H2S'!D17&gt;0,'C6+ H2S'!D17,"ND")</f>
        <v>#DIV/0!</v>
      </c>
      <c r="F34" s="16"/>
      <c r="G34" s="59" t="e">
        <f>IF('C6+ H2S'!AA17&gt;0,'C6+ H2S'!AA17,"ND")</f>
        <v>#DIV/0!</v>
      </c>
      <c r="H34" s="16"/>
      <c r="I34" s="29" t="e">
        <f>'C6+ H2S'!H17</f>
        <v>#DIV/0!</v>
      </c>
      <c r="J34" s="16"/>
    </row>
    <row r="35" spans="1:10" x14ac:dyDescent="0.25">
      <c r="A35" s="16" t="s">
        <v>48</v>
      </c>
      <c r="B35" s="16"/>
      <c r="C35" s="18">
        <f>'C6+ H2S'!B18</f>
        <v>0</v>
      </c>
      <c r="D35" s="16"/>
      <c r="E35" s="59" t="e">
        <f>IF('C6+ H2S'!D18&gt;0,'C6+ H2S'!D18,"ND")</f>
        <v>#DIV/0!</v>
      </c>
      <c r="F35" s="16"/>
      <c r="G35" s="59" t="e">
        <f>IF('C6+ H2S'!AA18&gt;0,'C6+ H2S'!AA18,"ND")</f>
        <v>#DIV/0!</v>
      </c>
      <c r="H35" s="16"/>
      <c r="I35" s="29" t="e">
        <f>'C6+ H2S'!H18</f>
        <v>#DIV/0!</v>
      </c>
      <c r="J35" s="16"/>
    </row>
    <row r="36" spans="1:10" x14ac:dyDescent="0.25">
      <c r="A36" s="16" t="s">
        <v>68</v>
      </c>
      <c r="B36" s="16"/>
      <c r="C36" s="18">
        <f>'C6+ H2S'!B19</f>
        <v>0</v>
      </c>
      <c r="D36" s="16"/>
      <c r="E36" s="59" t="e">
        <f>IF('C6+ H2S'!D19&gt;0,'C6+ H2S'!D19,"ND")</f>
        <v>#DIV/0!</v>
      </c>
      <c r="F36" s="16"/>
      <c r="G36" s="59" t="e">
        <f>IF('C6+ H2S'!AA19&gt;0,'C6+ H2S'!AA19,"ND")</f>
        <v>#DIV/0!</v>
      </c>
      <c r="H36" s="16"/>
      <c r="I36" s="29" t="e">
        <f>'C6+ H2S'!H19</f>
        <v>#DIV/0!</v>
      </c>
      <c r="J36" s="16"/>
    </row>
    <row r="37" spans="1:10" x14ac:dyDescent="0.25">
      <c r="A37" s="16"/>
      <c r="B37" s="16"/>
      <c r="C37" s="61">
        <f>SUM(C26:C36)</f>
        <v>0</v>
      </c>
      <c r="D37" s="16"/>
      <c r="E37" s="60" t="e">
        <f>SUM(E25:E36)</f>
        <v>#DIV/0!</v>
      </c>
      <c r="F37" s="16"/>
      <c r="G37" s="61" t="e">
        <f>SUM(G25:G36)</f>
        <v>#DIV/0!</v>
      </c>
      <c r="H37" s="16"/>
      <c r="I37" s="28" t="e">
        <f>SUM(I30:I36)</f>
        <v>#DIV/0!</v>
      </c>
      <c r="J37" s="16"/>
    </row>
    <row r="38" spans="1:10" ht="17.25" x14ac:dyDescent="0.25">
      <c r="A38" s="25" t="s">
        <v>391</v>
      </c>
      <c r="B38" s="16"/>
      <c r="C38" s="16"/>
      <c r="D38" s="16"/>
      <c r="E38" s="25" t="s">
        <v>72</v>
      </c>
      <c r="F38" s="16"/>
      <c r="G38" s="16"/>
      <c r="H38" s="25" t="s">
        <v>73</v>
      </c>
      <c r="I38" s="16"/>
      <c r="J38" s="16"/>
    </row>
    <row r="39" spans="1:10" x14ac:dyDescent="0.25">
      <c r="A39" s="30" t="s">
        <v>27</v>
      </c>
      <c r="B39" s="30" t="s">
        <v>32</v>
      </c>
      <c r="C39" s="16"/>
      <c r="D39" s="16"/>
      <c r="E39" s="30" t="s">
        <v>27</v>
      </c>
      <c r="F39" s="30" t="s">
        <v>32</v>
      </c>
      <c r="G39" s="16"/>
      <c r="H39" s="30" t="s">
        <v>27</v>
      </c>
      <c r="I39" s="30" t="s">
        <v>32</v>
      </c>
      <c r="J39" s="16"/>
    </row>
    <row r="40" spans="1:10" x14ac:dyDescent="0.25">
      <c r="A40" s="88" t="e">
        <f>'C6+ H2S'!L20</f>
        <v>#DIV/0!</v>
      </c>
      <c r="B40" s="88" t="e">
        <f>'C6+ H2S'!S20</f>
        <v>#DIV/0!</v>
      </c>
      <c r="C40" s="16" t="s">
        <v>19</v>
      </c>
      <c r="D40" s="16"/>
      <c r="E40" s="34" t="e">
        <f>'C6+ H2S'!J20</f>
        <v>#DIV/0!</v>
      </c>
      <c r="F40" s="34" t="e">
        <f>'C6+ H2S'!W20</f>
        <v>#DIV/0!</v>
      </c>
      <c r="G40" s="16" t="s">
        <v>19</v>
      </c>
      <c r="H40" s="32" t="e">
        <f>'C6+ H2S'!L23</f>
        <v>#DIV/0!</v>
      </c>
      <c r="I40" s="32" t="e">
        <f>'C6+ H2S'!O23</f>
        <v>#DIV/0!</v>
      </c>
      <c r="J40" s="16"/>
    </row>
    <row r="41" spans="1:10" x14ac:dyDescent="0.25">
      <c r="A41" s="88" t="e">
        <f>'C6+ H2S'!L28</f>
        <v>#DIV/0!</v>
      </c>
      <c r="B41" s="88" t="e">
        <f>'C6+ H2S'!O28</f>
        <v>#DIV/0!</v>
      </c>
      <c r="C41" s="16" t="s">
        <v>71</v>
      </c>
      <c r="D41" s="16"/>
      <c r="E41" s="32" t="e">
        <f>'C6+ H2S'!L27</f>
        <v>#DIV/0!</v>
      </c>
      <c r="F41" s="32" t="e">
        <f>'C6+ H2S'!O27</f>
        <v>#DIV/0!</v>
      </c>
      <c r="G41" s="16" t="s">
        <v>71</v>
      </c>
      <c r="H41" s="16"/>
      <c r="I41" s="16"/>
      <c r="J41" s="16"/>
    </row>
    <row r="42" spans="1:10" x14ac:dyDescent="0.25">
      <c r="A42" s="25"/>
      <c r="B42" s="16"/>
      <c r="C42" s="16"/>
      <c r="D42" s="16"/>
      <c r="E42" s="16"/>
      <c r="F42" s="16"/>
      <c r="G42" s="16"/>
      <c r="H42" s="16"/>
      <c r="I42" s="16"/>
      <c r="J42" s="16"/>
    </row>
    <row r="43" spans="1:10" x14ac:dyDescent="0.25">
      <c r="A43" s="30"/>
      <c r="B43" s="30"/>
      <c r="C43" s="16"/>
      <c r="D43" s="16"/>
      <c r="E43" s="16"/>
      <c r="F43" s="16"/>
      <c r="G43" s="16"/>
      <c r="H43" s="16"/>
      <c r="I43" s="16"/>
      <c r="J43" s="16"/>
    </row>
    <row r="44" spans="1:10" x14ac:dyDescent="0.25">
      <c r="A44" s="84"/>
      <c r="B44" s="84"/>
      <c r="C44" s="16"/>
      <c r="D44" s="16"/>
      <c r="E44" s="16"/>
      <c r="F44" s="16"/>
      <c r="G44" s="23" t="s">
        <v>256</v>
      </c>
      <c r="I44" s="16"/>
      <c r="J44" s="16"/>
    </row>
    <row r="45" spans="1:10" x14ac:dyDescent="0.25">
      <c r="A45" s="84"/>
      <c r="B45" s="84"/>
      <c r="C45" s="16"/>
      <c r="D45" s="16"/>
      <c r="E45" s="16"/>
      <c r="F45" s="16"/>
      <c r="G45" s="16" t="s">
        <v>277</v>
      </c>
      <c r="H45" s="16"/>
      <c r="I45" s="16"/>
      <c r="J45" s="16"/>
    </row>
  </sheetData>
  <pageMargins left="0.25" right="0.25" top="0.75" bottom="0.75" header="0.3" footer="0.3"/>
  <pageSetup orientation="portrait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D2"/>
  <sheetViews>
    <sheetView workbookViewId="0">
      <selection activeCell="A3" sqref="A3"/>
    </sheetView>
  </sheetViews>
  <sheetFormatPr defaultRowHeight="15" x14ac:dyDescent="0.25"/>
  <cols>
    <col min="3" max="3" width="13.42578125" bestFit="1" customWidth="1"/>
    <col min="15" max="15" width="14.85546875" bestFit="1" customWidth="1"/>
    <col min="16" max="16" width="14.28515625" bestFit="1" customWidth="1"/>
    <col min="17" max="17" width="15.7109375" bestFit="1" customWidth="1"/>
    <col min="18" max="18" width="14.7109375" bestFit="1" customWidth="1"/>
    <col min="19" max="20" width="18.42578125" bestFit="1" customWidth="1"/>
    <col min="21" max="21" width="13.28515625" bestFit="1" customWidth="1"/>
    <col min="22" max="22" width="12.5703125" bestFit="1" customWidth="1"/>
    <col min="23" max="23" width="14.140625" bestFit="1" customWidth="1"/>
    <col min="24" max="24" width="13.5703125" bestFit="1" customWidth="1"/>
    <col min="25" max="25" width="20" bestFit="1" customWidth="1"/>
    <col min="26" max="26" width="20.85546875" bestFit="1" customWidth="1"/>
  </cols>
  <sheetData>
    <row r="1" spans="1:30" x14ac:dyDescent="0.25">
      <c r="A1" s="1" t="s">
        <v>163</v>
      </c>
      <c r="B1" s="1" t="s">
        <v>164</v>
      </c>
      <c r="C1" s="1" t="s">
        <v>165</v>
      </c>
      <c r="D1" s="62" t="s">
        <v>38</v>
      </c>
      <c r="E1" s="1" t="s">
        <v>182</v>
      </c>
      <c r="F1" s="1" t="s">
        <v>10</v>
      </c>
      <c r="G1" s="1" t="s">
        <v>3</v>
      </c>
      <c r="H1" s="1" t="s">
        <v>2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166</v>
      </c>
      <c r="P1" s="1" t="s">
        <v>167</v>
      </c>
      <c r="Q1" s="1" t="s">
        <v>168</v>
      </c>
      <c r="R1" s="1" t="s">
        <v>169</v>
      </c>
      <c r="S1" s="1" t="s">
        <v>179</v>
      </c>
      <c r="T1" s="1" t="s">
        <v>180</v>
      </c>
      <c r="U1" s="1" t="s">
        <v>173</v>
      </c>
      <c r="V1" s="1" t="s">
        <v>174</v>
      </c>
      <c r="W1" s="1" t="s">
        <v>175</v>
      </c>
      <c r="X1" s="1" t="s">
        <v>176</v>
      </c>
      <c r="Y1" s="1" t="s">
        <v>177</v>
      </c>
      <c r="Z1" s="1" t="s">
        <v>178</v>
      </c>
      <c r="AA1" s="1" t="s">
        <v>170</v>
      </c>
      <c r="AB1" s="1" t="s">
        <v>171</v>
      </c>
      <c r="AC1" s="1" t="s">
        <v>172</v>
      </c>
      <c r="AD1" s="1" t="s">
        <v>249</v>
      </c>
    </row>
    <row r="2" spans="1:30" x14ac:dyDescent="0.25">
      <c r="A2">
        <f>Report!$C$14</f>
        <v>0</v>
      </c>
      <c r="B2">
        <f>Report!$C$15</f>
        <v>0</v>
      </c>
      <c r="C2" s="50">
        <f>Report!$G$14</f>
        <v>0</v>
      </c>
      <c r="D2">
        <f>'C6+ H2S'!$D$7</f>
        <v>0</v>
      </c>
      <c r="E2" t="e">
        <f>'C6+ H2S'!$D$10+'C6+ H2S'!$D$9</f>
        <v>#DIV/0!</v>
      </c>
      <c r="F2" t="e">
        <f>'C6+ H2S'!$D$19</f>
        <v>#DIV/0!</v>
      </c>
      <c r="G2" t="e">
        <f>'C6+ H2S'!$D$11</f>
        <v>#DIV/0!</v>
      </c>
      <c r="H2" t="e">
        <f>'C6+ H2S'!$D$12</f>
        <v>#DIV/0!</v>
      </c>
      <c r="I2" t="e">
        <f>'C6+ H2S'!$D$13</f>
        <v>#DIV/0!</v>
      </c>
      <c r="J2" t="e">
        <f>'C6+ H2S'!$D$14</f>
        <v>#DIV/0!</v>
      </c>
      <c r="K2" t="e">
        <f>'C6+ H2S'!$D$15</f>
        <v>#DIV/0!</v>
      </c>
      <c r="L2" t="e">
        <f>'C6+ H2S'!$D$16</f>
        <v>#DIV/0!</v>
      </c>
      <c r="M2" t="e">
        <f>'C6+ H2S'!$D$17</f>
        <v>#DIV/0!</v>
      </c>
      <c r="N2" t="e">
        <f>'C6+ H2S'!$D$18</f>
        <v>#DIV/0!</v>
      </c>
      <c r="O2" t="e">
        <f>'C6+ H2S'!L20</f>
        <v>#DIV/0!</v>
      </c>
      <c r="P2" t="e">
        <f>'C6+ H2S'!L28</f>
        <v>#DIV/0!</v>
      </c>
      <c r="Q2" t="e">
        <f>'C6+ H2S'!S20</f>
        <v>#DIV/0!</v>
      </c>
      <c r="R2" t="e">
        <f>'C6+ H2S'!O28</f>
        <v>#DIV/0!</v>
      </c>
      <c r="S2" t="e">
        <f>'C6+ H2S'!L24</f>
        <v>#DIV/0!</v>
      </c>
      <c r="T2" t="e">
        <f>'C6+ H2S'!L25</f>
        <v>#DIV/0!</v>
      </c>
      <c r="U2" t="e">
        <f>'C6+ H2S'!J20</f>
        <v>#DIV/0!</v>
      </c>
      <c r="V2" t="e">
        <f>'C6+ H2S'!L27</f>
        <v>#DIV/0!</v>
      </c>
      <c r="W2" t="e">
        <f>'C6+ H2S'!W20</f>
        <v>#DIV/0!</v>
      </c>
      <c r="X2" t="e">
        <f>'C6+ H2S'!O27</f>
        <v>#DIV/0!</v>
      </c>
      <c r="Y2" t="e">
        <f>'C6+ H2S'!L23</f>
        <v>#DIV/0!</v>
      </c>
      <c r="Z2" t="e">
        <f>'C6+ H2S'!O23</f>
        <v>#DIV/0!</v>
      </c>
      <c r="AA2">
        <f>Report!$F$18</f>
        <v>0</v>
      </c>
      <c r="AB2">
        <f>Report!$G$15</f>
        <v>0</v>
      </c>
      <c r="AC2">
        <f>Report!$G$16</f>
        <v>0</v>
      </c>
      <c r="AD2">
        <f>Report!B10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GA2"/>
  <sheetViews>
    <sheetView workbookViewId="0">
      <selection activeCell="A2" sqref="A2:GA2"/>
    </sheetView>
  </sheetViews>
  <sheetFormatPr defaultRowHeight="15" x14ac:dyDescent="0.25"/>
  <cols>
    <col min="3" max="5" width="9.7109375" bestFit="1" customWidth="1"/>
    <col min="29" max="29" width="10" customWidth="1"/>
    <col min="30" max="30" width="10.42578125" customWidth="1"/>
    <col min="51" max="51" width="15.42578125" bestFit="1" customWidth="1"/>
    <col min="74" max="74" width="18.140625" customWidth="1"/>
    <col min="75" max="75" width="26.7109375" customWidth="1"/>
    <col min="76" max="76" width="14.7109375" customWidth="1"/>
    <col min="77" max="77" width="18.5703125" customWidth="1"/>
    <col min="78" max="78" width="14.42578125" customWidth="1"/>
    <col min="79" max="79" width="15.7109375" customWidth="1"/>
    <col min="96" max="96" width="20.5703125" customWidth="1"/>
    <col min="97" max="97" width="17.5703125" customWidth="1"/>
    <col min="100" max="100" width="18.5703125" customWidth="1"/>
    <col min="105" max="105" width="14.7109375" customWidth="1"/>
    <col min="108" max="108" width="22.42578125" customWidth="1"/>
    <col min="110" max="110" width="20.5703125" customWidth="1"/>
    <col min="115" max="115" width="37.42578125" customWidth="1"/>
    <col min="117" max="117" width="18.5703125" customWidth="1"/>
    <col min="122" max="122" width="20" customWidth="1"/>
    <col min="123" max="123" width="27.85546875" customWidth="1"/>
    <col min="124" max="124" width="9.140625" customWidth="1"/>
    <col min="125" max="125" width="26.42578125" customWidth="1"/>
  </cols>
  <sheetData>
    <row r="1" spans="1:183" ht="51.75" x14ac:dyDescent="0.25">
      <c r="A1" s="49" t="s">
        <v>92</v>
      </c>
      <c r="B1" s="49" t="s">
        <v>93</v>
      </c>
      <c r="C1" s="49" t="s">
        <v>94</v>
      </c>
      <c r="D1" s="49" t="s">
        <v>95</v>
      </c>
      <c r="E1" s="49" t="s">
        <v>96</v>
      </c>
      <c r="F1" s="49" t="s">
        <v>97</v>
      </c>
      <c r="G1" s="49" t="s">
        <v>98</v>
      </c>
      <c r="H1" s="49" t="s">
        <v>99</v>
      </c>
      <c r="I1" s="49" t="s">
        <v>84</v>
      </c>
      <c r="J1" s="49" t="s">
        <v>100</v>
      </c>
      <c r="K1" s="49" t="s">
        <v>101</v>
      </c>
      <c r="L1" s="49" t="s">
        <v>102</v>
      </c>
      <c r="M1" s="49" t="s">
        <v>67</v>
      </c>
      <c r="N1" s="49" t="s">
        <v>43</v>
      </c>
      <c r="O1" s="49" t="s">
        <v>44</v>
      </c>
      <c r="P1" s="49" t="s">
        <v>45</v>
      </c>
      <c r="Q1" s="49" t="s">
        <v>46</v>
      </c>
      <c r="R1" s="49" t="s">
        <v>103</v>
      </c>
      <c r="S1" s="49" t="s">
        <v>104</v>
      </c>
      <c r="T1" s="49" t="s">
        <v>105</v>
      </c>
      <c r="U1" s="49" t="s">
        <v>106</v>
      </c>
      <c r="V1" s="49" t="s">
        <v>107</v>
      </c>
      <c r="W1" s="49" t="s">
        <v>108</v>
      </c>
      <c r="X1" s="49" t="s">
        <v>109</v>
      </c>
      <c r="Y1" s="49" t="s">
        <v>110</v>
      </c>
      <c r="Z1" s="49" t="s">
        <v>111</v>
      </c>
      <c r="AA1" s="49" t="s">
        <v>112</v>
      </c>
      <c r="AB1" s="49" t="s">
        <v>113</v>
      </c>
      <c r="AC1" s="49" t="s">
        <v>114</v>
      </c>
      <c r="AD1" s="49" t="s">
        <v>115</v>
      </c>
      <c r="AE1" s="49" t="s">
        <v>87</v>
      </c>
      <c r="AF1" s="49" t="s">
        <v>116</v>
      </c>
      <c r="AG1" s="49" t="s">
        <v>117</v>
      </c>
      <c r="AH1" s="49" t="s">
        <v>41</v>
      </c>
      <c r="AI1" s="49" t="s">
        <v>118</v>
      </c>
      <c r="AJ1" s="49" t="s">
        <v>119</v>
      </c>
      <c r="AK1" s="49" t="s">
        <v>120</v>
      </c>
      <c r="AL1" s="49" t="s">
        <v>121</v>
      </c>
      <c r="AM1" s="49" t="s">
        <v>122</v>
      </c>
      <c r="AN1" s="49" t="s">
        <v>123</v>
      </c>
      <c r="AO1" s="49" t="s">
        <v>124</v>
      </c>
      <c r="AP1" s="49" t="s">
        <v>125</v>
      </c>
      <c r="AQ1" s="49" t="s">
        <v>389</v>
      </c>
      <c r="AR1" s="49" t="s">
        <v>126</v>
      </c>
      <c r="AS1" s="49" t="s">
        <v>127</v>
      </c>
      <c r="AT1" s="49" t="s">
        <v>128</v>
      </c>
      <c r="AU1" s="49" t="s">
        <v>129</v>
      </c>
      <c r="AV1" s="49" t="s">
        <v>130</v>
      </c>
      <c r="AW1" s="49" t="s">
        <v>131</v>
      </c>
      <c r="AX1" s="49" t="s">
        <v>132</v>
      </c>
      <c r="AY1" s="49" t="s">
        <v>133</v>
      </c>
      <c r="AZ1" s="49" t="s">
        <v>134</v>
      </c>
      <c r="BA1" s="49" t="s">
        <v>50</v>
      </c>
      <c r="BB1" s="49" t="s">
        <v>135</v>
      </c>
      <c r="BC1" s="49" t="s">
        <v>136</v>
      </c>
      <c r="BD1" s="49" t="s">
        <v>137</v>
      </c>
      <c r="BE1" s="49" t="s">
        <v>138</v>
      </c>
      <c r="BF1" s="49" t="s">
        <v>139</v>
      </c>
      <c r="BG1" s="49" t="s">
        <v>140</v>
      </c>
      <c r="BH1" s="85" t="s">
        <v>141</v>
      </c>
      <c r="BI1" s="49" t="s">
        <v>142</v>
      </c>
      <c r="BJ1" s="49" t="s">
        <v>143</v>
      </c>
      <c r="BK1" s="49" t="s">
        <v>144</v>
      </c>
      <c r="BL1" s="49" t="s">
        <v>145</v>
      </c>
      <c r="BM1" s="49" t="s">
        <v>146</v>
      </c>
      <c r="BN1" s="49" t="s">
        <v>147</v>
      </c>
      <c r="BO1" s="49" t="s">
        <v>148</v>
      </c>
      <c r="BP1" s="49" t="s">
        <v>149</v>
      </c>
      <c r="BQ1" s="49" t="s">
        <v>150</v>
      </c>
      <c r="BR1" s="49" t="s">
        <v>151</v>
      </c>
      <c r="BS1" s="49" t="s">
        <v>152</v>
      </c>
      <c r="BT1" s="49" t="s">
        <v>153</v>
      </c>
      <c r="BU1" s="49" t="s">
        <v>154</v>
      </c>
      <c r="BV1" s="86" t="s">
        <v>199</v>
      </c>
      <c r="BW1" s="1" t="s">
        <v>279</v>
      </c>
      <c r="BX1" s="87" t="s">
        <v>280</v>
      </c>
      <c r="BY1" s="87" t="s">
        <v>281</v>
      </c>
      <c r="BZ1" s="87" t="s">
        <v>282</v>
      </c>
      <c r="CA1" s="1" t="s">
        <v>283</v>
      </c>
      <c r="CB1" s="1" t="s">
        <v>284</v>
      </c>
      <c r="CC1" s="1" t="s">
        <v>285</v>
      </c>
      <c r="CD1" s="1" t="s">
        <v>286</v>
      </c>
      <c r="CE1" s="1" t="s">
        <v>287</v>
      </c>
      <c r="CF1" s="1" t="s">
        <v>288</v>
      </c>
      <c r="CG1" s="1" t="s">
        <v>289</v>
      </c>
      <c r="CH1" s="1" t="s">
        <v>290</v>
      </c>
      <c r="CI1" s="1" t="s">
        <v>291</v>
      </c>
      <c r="CJ1" s="1" t="s">
        <v>292</v>
      </c>
      <c r="CK1" s="1" t="s">
        <v>293</v>
      </c>
      <c r="CL1" s="1" t="s">
        <v>294</v>
      </c>
      <c r="CM1" s="1" t="s">
        <v>295</v>
      </c>
      <c r="CN1" s="1" t="s">
        <v>296</v>
      </c>
      <c r="CO1" s="1" t="s">
        <v>297</v>
      </c>
      <c r="CP1" s="1" t="s">
        <v>298</v>
      </c>
      <c r="CQ1" s="1" t="s">
        <v>299</v>
      </c>
      <c r="CR1" s="86" t="s">
        <v>300</v>
      </c>
      <c r="CS1" s="86" t="s">
        <v>301</v>
      </c>
      <c r="CT1" s="86" t="s">
        <v>302</v>
      </c>
      <c r="CU1" s="1" t="s">
        <v>303</v>
      </c>
      <c r="CV1" s="1" t="s">
        <v>304</v>
      </c>
      <c r="CW1" s="1" t="s">
        <v>305</v>
      </c>
      <c r="CX1" s="1" t="s">
        <v>306</v>
      </c>
      <c r="CY1" s="1" t="s">
        <v>307</v>
      </c>
      <c r="CZ1" s="1" t="s">
        <v>308</v>
      </c>
      <c r="DA1" s="1" t="s">
        <v>309</v>
      </c>
      <c r="DB1" s="1" t="s">
        <v>310</v>
      </c>
      <c r="DC1" s="1" t="s">
        <v>311</v>
      </c>
      <c r="DD1" s="86" t="s">
        <v>312</v>
      </c>
      <c r="DE1" s="1" t="s">
        <v>313</v>
      </c>
      <c r="DF1" s="86" t="s">
        <v>314</v>
      </c>
      <c r="DG1" s="1" t="s">
        <v>315</v>
      </c>
      <c r="DH1" s="1" t="s">
        <v>316</v>
      </c>
      <c r="DI1" s="1" t="s">
        <v>317</v>
      </c>
      <c r="DJ1" s="1" t="s">
        <v>318</v>
      </c>
      <c r="DK1" s="1" t="s">
        <v>319</v>
      </c>
      <c r="DL1" s="1" t="s">
        <v>320</v>
      </c>
      <c r="DM1" s="87" t="s">
        <v>188</v>
      </c>
      <c r="DN1" s="1" t="s">
        <v>321</v>
      </c>
      <c r="DO1" s="1" t="s">
        <v>322</v>
      </c>
      <c r="DP1" s="1" t="s">
        <v>323</v>
      </c>
      <c r="DQ1" s="1" t="s">
        <v>324</v>
      </c>
      <c r="DR1" s="1" t="s">
        <v>325</v>
      </c>
      <c r="DS1" s="87" t="s">
        <v>326</v>
      </c>
      <c r="DT1" s="1" t="s">
        <v>327</v>
      </c>
      <c r="DU1" s="87" t="s">
        <v>328</v>
      </c>
      <c r="DV1" s="1" t="s">
        <v>329</v>
      </c>
      <c r="DW1" s="1" t="s">
        <v>330</v>
      </c>
      <c r="DX1" s="1" t="s">
        <v>331</v>
      </c>
      <c r="DY1" s="1" t="s">
        <v>332</v>
      </c>
      <c r="DZ1" s="1" t="s">
        <v>333</v>
      </c>
      <c r="EA1" s="1" t="s">
        <v>334</v>
      </c>
      <c r="EB1" s="1" t="s">
        <v>335</v>
      </c>
      <c r="EC1" s="1" t="s">
        <v>336</v>
      </c>
      <c r="ED1" s="1" t="s">
        <v>337</v>
      </c>
      <c r="EE1" s="1" t="s">
        <v>338</v>
      </c>
      <c r="EF1" s="1" t="s">
        <v>339</v>
      </c>
      <c r="EG1" s="1" t="s">
        <v>340</v>
      </c>
      <c r="EH1" s="1" t="s">
        <v>341</v>
      </c>
      <c r="EI1" s="1" t="s">
        <v>342</v>
      </c>
      <c r="EJ1" s="1" t="s">
        <v>343</v>
      </c>
      <c r="EK1" s="1" t="s">
        <v>344</v>
      </c>
      <c r="EL1" s="1" t="s">
        <v>345</v>
      </c>
      <c r="EM1" s="1" t="s">
        <v>346</v>
      </c>
      <c r="EN1" s="1" t="s">
        <v>347</v>
      </c>
      <c r="EO1" s="1" t="s">
        <v>348</v>
      </c>
      <c r="EP1" s="1" t="s">
        <v>349</v>
      </c>
      <c r="EQ1" s="1" t="s">
        <v>350</v>
      </c>
      <c r="ER1" s="1" t="s">
        <v>351</v>
      </c>
      <c r="ES1" s="1" t="s">
        <v>352</v>
      </c>
      <c r="ET1" s="1" t="s">
        <v>353</v>
      </c>
      <c r="EU1" s="1" t="s">
        <v>354</v>
      </c>
      <c r="EV1" s="1" t="s">
        <v>355</v>
      </c>
      <c r="EW1" s="1" t="s">
        <v>356</v>
      </c>
      <c r="EX1" s="1" t="s">
        <v>357</v>
      </c>
      <c r="EY1" s="1" t="s">
        <v>358</v>
      </c>
      <c r="EZ1" s="1" t="s">
        <v>359</v>
      </c>
      <c r="FA1" s="1" t="s">
        <v>360</v>
      </c>
      <c r="FB1" s="1" t="s">
        <v>361</v>
      </c>
      <c r="FC1" s="1" t="s">
        <v>362</v>
      </c>
      <c r="FD1" s="1" t="s">
        <v>363</v>
      </c>
      <c r="FE1" s="1" t="s">
        <v>364</v>
      </c>
      <c r="FF1" s="1" t="s">
        <v>365</v>
      </c>
      <c r="FG1" s="1" t="s">
        <v>366</v>
      </c>
      <c r="FH1" s="1" t="s">
        <v>367</v>
      </c>
      <c r="FI1" s="1" t="s">
        <v>368</v>
      </c>
      <c r="FJ1" s="1" t="s">
        <v>369</v>
      </c>
      <c r="FK1" s="1" t="s">
        <v>370</v>
      </c>
      <c r="FL1" s="1" t="s">
        <v>371</v>
      </c>
      <c r="FM1" s="1" t="s">
        <v>372</v>
      </c>
      <c r="FN1" s="1" t="s">
        <v>373</v>
      </c>
      <c r="FO1" s="1" t="s">
        <v>374</v>
      </c>
      <c r="FP1" s="1" t="s">
        <v>375</v>
      </c>
      <c r="FQ1" s="1" t="s">
        <v>376</v>
      </c>
      <c r="FR1" s="1" t="s">
        <v>377</v>
      </c>
      <c r="FS1" s="1" t="s">
        <v>378</v>
      </c>
      <c r="FT1" s="1" t="s">
        <v>379</v>
      </c>
      <c r="FU1" s="1" t="s">
        <v>380</v>
      </c>
      <c r="FV1" s="1" t="s">
        <v>381</v>
      </c>
      <c r="FW1" s="1" t="s">
        <v>382</v>
      </c>
      <c r="FX1" s="1" t="s">
        <v>383</v>
      </c>
      <c r="FY1" s="1" t="s">
        <v>384</v>
      </c>
      <c r="FZ1" s="1" t="s">
        <v>385</v>
      </c>
      <c r="GA1" s="1" t="s">
        <v>386</v>
      </c>
    </row>
    <row r="2" spans="1:183" x14ac:dyDescent="0.25">
      <c r="A2">
        <f>Report!C15</f>
        <v>0</v>
      </c>
      <c r="B2" t="s">
        <v>155</v>
      </c>
      <c r="C2" s="50">
        <f>Report!G20</f>
        <v>46143</v>
      </c>
      <c r="D2" s="50">
        <f>Report!I20</f>
        <v>46173</v>
      </c>
      <c r="E2" s="50">
        <f>Report!G14</f>
        <v>0</v>
      </c>
      <c r="F2" t="str">
        <f>IF(Report!I19="Composite","C","S")</f>
        <v>S</v>
      </c>
      <c r="G2" t="s">
        <v>156</v>
      </c>
      <c r="H2" t="e">
        <f>'C6+ H2S'!O28</f>
        <v>#DIV/0!</v>
      </c>
      <c r="I2" s="52" t="e">
        <f>'C6+ H2S'!O27</f>
        <v>#DIV/0!</v>
      </c>
      <c r="J2" s="51">
        <v>6.9E-6</v>
      </c>
      <c r="K2">
        <v>1.3</v>
      </c>
      <c r="L2">
        <f>'C6+ H2S'!G1</f>
        <v>14.65</v>
      </c>
      <c r="M2" s="52" t="e">
        <f>'C6+ H2S'!D12</f>
        <v>#DIV/0!</v>
      </c>
      <c r="N2" s="52" t="e">
        <f>'C6+ H2S'!D10+'C6+ H2S'!D9</f>
        <v>#DIV/0!</v>
      </c>
      <c r="O2" s="52" t="e">
        <f>'C6+ H2S'!D11</f>
        <v>#DIV/0!</v>
      </c>
      <c r="P2" s="52" t="e">
        <f>'C6+ H2S'!D13</f>
        <v>#DIV/0!</v>
      </c>
      <c r="Q2" s="52" t="e">
        <f>'C6+ H2S'!D14</f>
        <v>#DIV/0!</v>
      </c>
      <c r="R2" s="52" t="e">
        <f>'C6+ H2S'!D15</f>
        <v>#DIV/0!</v>
      </c>
      <c r="S2" s="52" t="e">
        <f>'C6+ H2S'!D16</f>
        <v>#DIV/0!</v>
      </c>
      <c r="T2" s="52" t="e">
        <f>'C6+ H2S'!D17</f>
        <v>#DIV/0!</v>
      </c>
      <c r="U2" s="52" t="e">
        <f>'C6+ H2S'!D18</f>
        <v>#DIV/0!</v>
      </c>
      <c r="V2" s="52"/>
      <c r="W2" s="52" t="e">
        <f>'C6+ H2S'!D19</f>
        <v>#DIV/0!</v>
      </c>
      <c r="AE2" s="52"/>
      <c r="AG2" s="52">
        <f>'C6+ H2S'!D7</f>
        <v>0</v>
      </c>
      <c r="AI2">
        <f>AG2*10000</f>
        <v>0</v>
      </c>
      <c r="AQ2" t="e">
        <f>'C6+ H2S'!H20</f>
        <v>#DIV/0!</v>
      </c>
      <c r="AS2" s="53" t="e">
        <f>'C6+ H2S'!L28</f>
        <v>#DIV/0!</v>
      </c>
      <c r="AT2" t="e">
        <f>'C6+ H2S'!L26</f>
        <v>#DIV/0!</v>
      </c>
      <c r="AU2">
        <f>'C6+ H2S'!E26</f>
        <v>5129.2199999999993</v>
      </c>
      <c r="AV2">
        <f>Report!C20</f>
        <v>0</v>
      </c>
      <c r="AX2">
        <f>Report!G13</f>
        <v>0</v>
      </c>
      <c r="AY2" t="str">
        <f>Report!E10</f>
        <v xml:space="preserve">Jared Goldsmith </v>
      </c>
      <c r="BA2">
        <f>Report!G15</f>
        <v>0</v>
      </c>
      <c r="BB2">
        <f>Report!G16</f>
        <v>0</v>
      </c>
      <c r="BN2" t="e">
        <f>'C6+ H2S'!H13</f>
        <v>#DIV/0!</v>
      </c>
      <c r="BO2" t="e">
        <f>'C6+ H2S'!H14</f>
        <v>#DIV/0!</v>
      </c>
      <c r="BP2" t="e">
        <f>'C6+ H2S'!H15</f>
        <v>#DIV/0!</v>
      </c>
      <c r="BQ2" t="e">
        <f>'C6+ H2S'!H16</f>
        <v>#DIV/0!</v>
      </c>
      <c r="BR2" t="e">
        <f>'C6+ H2S'!H17</f>
        <v>#DIV/0!</v>
      </c>
      <c r="BS2" t="e">
        <f>'C6+ H2S'!H18</f>
        <v>#DIV/0!</v>
      </c>
      <c r="BT2" t="e">
        <f>'C6+ H2S'!H19</f>
        <v>#DIV/0!</v>
      </c>
      <c r="BV2" t="e">
        <f>'C6+ H2S'!O28</f>
        <v>#DIV/0!</v>
      </c>
      <c r="BX2" s="50">
        <f>Report!E8</f>
        <v>46320.666666666664</v>
      </c>
      <c r="BY2">
        <f>Report!B10</f>
        <v>0</v>
      </c>
      <c r="BZ2" t="s">
        <v>155</v>
      </c>
      <c r="CR2" s="52" t="e">
        <f>'C6+ H2S'!W20</f>
        <v>#DIV/0!</v>
      </c>
      <c r="CS2" t="e">
        <f>'C6+ H2S'!N20</f>
        <v>#DIV/0!</v>
      </c>
      <c r="CV2">
        <v>60</v>
      </c>
      <c r="DA2" t="s">
        <v>387</v>
      </c>
      <c r="DD2" t="e">
        <f>'C6+ H2S'!O23</f>
        <v>#DIV/0!</v>
      </c>
      <c r="DF2" s="35" t="e">
        <f>'C6+ H2S'!Y20</f>
        <v>#DIV/0!</v>
      </c>
      <c r="DK2" t="s">
        <v>388</v>
      </c>
      <c r="DM2">
        <f>Report!B9</f>
        <v>0</v>
      </c>
      <c r="DR2" t="s">
        <v>182</v>
      </c>
      <c r="DS2">
        <f>Report!B9</f>
        <v>0</v>
      </c>
      <c r="DU2">
        <f>Report!B8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BS2"/>
  <sheetViews>
    <sheetView workbookViewId="0">
      <selection activeCell="D15" sqref="D15"/>
    </sheetView>
  </sheetViews>
  <sheetFormatPr defaultRowHeight="15" x14ac:dyDescent="0.25"/>
  <cols>
    <col min="2" max="2" width="12.140625" bestFit="1" customWidth="1"/>
    <col min="3" max="3" width="13.5703125" bestFit="1" customWidth="1"/>
    <col min="4" max="4" width="12.28515625" bestFit="1" customWidth="1"/>
    <col min="5" max="5" width="9.85546875" bestFit="1" customWidth="1"/>
    <col min="12" max="12" width="10.5703125" bestFit="1" customWidth="1"/>
  </cols>
  <sheetData>
    <row r="1" spans="1:71" x14ac:dyDescent="0.25">
      <c r="A1" t="s">
        <v>186</v>
      </c>
      <c r="B1" t="s">
        <v>96</v>
      </c>
      <c r="C1" t="s">
        <v>187</v>
      </c>
      <c r="D1" t="s">
        <v>97</v>
      </c>
      <c r="E1" t="s">
        <v>188</v>
      </c>
      <c r="F1" t="s">
        <v>44</v>
      </c>
      <c r="G1" t="s">
        <v>189</v>
      </c>
      <c r="H1" t="s">
        <v>46</v>
      </c>
      <c r="I1" t="s">
        <v>190</v>
      </c>
      <c r="J1" t="s">
        <v>47</v>
      </c>
      <c r="K1" t="s">
        <v>191</v>
      </c>
      <c r="L1" t="s">
        <v>48</v>
      </c>
      <c r="M1" t="s">
        <v>108</v>
      </c>
      <c r="N1" t="s">
        <v>109</v>
      </c>
      <c r="O1" t="s">
        <v>110</v>
      </c>
      <c r="P1" t="s">
        <v>111</v>
      </c>
      <c r="Q1" t="s">
        <v>112</v>
      </c>
      <c r="R1" t="s">
        <v>43</v>
      </c>
      <c r="S1" t="s">
        <v>2</v>
      </c>
      <c r="T1" t="s">
        <v>37</v>
      </c>
      <c r="U1" t="s">
        <v>38</v>
      </c>
      <c r="V1" t="s">
        <v>115</v>
      </c>
      <c r="W1" t="s">
        <v>192</v>
      </c>
      <c r="X1" t="s">
        <v>87</v>
      </c>
      <c r="Y1" t="s">
        <v>41</v>
      </c>
      <c r="Z1" t="s">
        <v>113</v>
      </c>
      <c r="AA1" t="s">
        <v>193</v>
      </c>
      <c r="AB1" t="s">
        <v>194</v>
      </c>
      <c r="AC1" t="s">
        <v>195</v>
      </c>
      <c r="AD1" t="s">
        <v>196</v>
      </c>
      <c r="AE1" t="s">
        <v>197</v>
      </c>
      <c r="AF1" t="s">
        <v>171</v>
      </c>
      <c r="AG1" t="s">
        <v>172</v>
      </c>
      <c r="AH1" t="s">
        <v>65</v>
      </c>
      <c r="AI1" t="s">
        <v>257</v>
      </c>
      <c r="BR1" t="s">
        <v>57</v>
      </c>
      <c r="BS1" t="s">
        <v>198</v>
      </c>
    </row>
    <row r="2" spans="1:71" x14ac:dyDescent="0.25">
      <c r="A2">
        <f>Report!C15</f>
        <v>0</v>
      </c>
      <c r="B2" s="50">
        <f>Report!G14</f>
        <v>0</v>
      </c>
      <c r="D2" t="str">
        <f>IF(Report!I19="Composite","CO","SP")</f>
        <v>SP</v>
      </c>
      <c r="F2" t="e">
        <f>'C6+ H2S'!D11</f>
        <v>#DIV/0!</v>
      </c>
      <c r="G2" t="e">
        <f>'C6+ H2S'!D13</f>
        <v>#DIV/0!</v>
      </c>
      <c r="H2" t="e">
        <f>'C6+ H2S'!D14</f>
        <v>#DIV/0!</v>
      </c>
      <c r="I2" t="e">
        <f>'C6+ H2S'!D15</f>
        <v>#DIV/0!</v>
      </c>
      <c r="J2" t="e">
        <f>'C6+ H2S'!D16</f>
        <v>#DIV/0!</v>
      </c>
      <c r="K2" t="e">
        <f>'C6+ H2S'!D17</f>
        <v>#DIV/0!</v>
      </c>
      <c r="L2" t="e">
        <f>'C6+ H2S'!D18</f>
        <v>#DIV/0!</v>
      </c>
      <c r="M2" t="e">
        <f>'C6+ H2S'!D19</f>
        <v>#DIV/0!</v>
      </c>
      <c r="R2" t="e">
        <f>'C6+ H2S'!D10+'C6+ H2S'!D9</f>
        <v>#DIV/0!</v>
      </c>
      <c r="S2" t="e">
        <f>'C6+ H2S'!D12</f>
        <v>#DIV/0!</v>
      </c>
      <c r="U2">
        <f>'C6+ H2S'!D7</f>
        <v>0</v>
      </c>
      <c r="AA2" t="e">
        <f>'C6+ H2S'!L27</f>
        <v>#DIV/0!</v>
      </c>
      <c r="AB2">
        <f>'C6+ H2S'!G1</f>
        <v>14.65</v>
      </c>
      <c r="AC2" t="e">
        <f>'C6+ H2S'!L28</f>
        <v>#DIV/0!</v>
      </c>
      <c r="AD2" t="e">
        <f>'C6+ H2S'!O28</f>
        <v>#DIV/0!</v>
      </c>
      <c r="AF2">
        <f>Report!G15</f>
        <v>0</v>
      </c>
      <c r="AG2">
        <f>Report!G16</f>
        <v>0</v>
      </c>
      <c r="AH2">
        <f>Report!B10</f>
        <v>0</v>
      </c>
      <c r="AI2">
        <f>'C6+ H2S'!B20</f>
        <v>0</v>
      </c>
      <c r="BR2">
        <f>Report!B8</f>
        <v>0</v>
      </c>
      <c r="BS2">
        <f>Report!I18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S2"/>
  <sheetViews>
    <sheetView workbookViewId="0">
      <selection activeCell="A2" sqref="A2"/>
    </sheetView>
  </sheetViews>
  <sheetFormatPr defaultRowHeight="15" x14ac:dyDescent="0.25"/>
  <cols>
    <col min="1" max="1" width="10" customWidth="1"/>
    <col min="2" max="4" width="10.7109375" bestFit="1" customWidth="1"/>
    <col min="5" max="5" width="13.28515625" bestFit="1" customWidth="1"/>
    <col min="6" max="6" width="14.7109375" bestFit="1" customWidth="1"/>
    <col min="7" max="7" width="11" bestFit="1" customWidth="1"/>
    <col min="8" max="8" width="12.140625" bestFit="1" customWidth="1"/>
    <col min="9" max="9" width="11.5703125" bestFit="1" customWidth="1"/>
    <col min="10" max="10" width="12" bestFit="1" customWidth="1"/>
    <col min="11" max="11" width="14.85546875" bestFit="1" customWidth="1"/>
    <col min="12" max="12" width="16.42578125" bestFit="1" customWidth="1"/>
  </cols>
  <sheetData>
    <row r="1" spans="1:19" x14ac:dyDescent="0.25">
      <c r="A1" t="s">
        <v>92</v>
      </c>
      <c r="B1" t="s">
        <v>94</v>
      </c>
      <c r="C1" t="s">
        <v>95</v>
      </c>
      <c r="D1" t="s">
        <v>96</v>
      </c>
      <c r="E1" t="s">
        <v>98</v>
      </c>
      <c r="F1" t="s">
        <v>199</v>
      </c>
      <c r="G1" t="s">
        <v>200</v>
      </c>
      <c r="H1" t="s">
        <v>201</v>
      </c>
      <c r="I1" t="s">
        <v>202</v>
      </c>
      <c r="J1" t="s">
        <v>38</v>
      </c>
      <c r="K1" t="s">
        <v>203</v>
      </c>
      <c r="L1" t="s">
        <v>204</v>
      </c>
      <c r="M1" t="s">
        <v>205</v>
      </c>
      <c r="N1" t="s">
        <v>206</v>
      </c>
      <c r="O1" t="s">
        <v>207</v>
      </c>
      <c r="P1" t="s">
        <v>208</v>
      </c>
      <c r="Q1" t="s">
        <v>209</v>
      </c>
      <c r="R1" t="s">
        <v>210</v>
      </c>
      <c r="S1" t="s">
        <v>181</v>
      </c>
    </row>
    <row r="2" spans="1:19" x14ac:dyDescent="0.25">
      <c r="A2">
        <f>Report!C15</f>
        <v>0</v>
      </c>
      <c r="B2" s="50">
        <f>Report!G14</f>
        <v>0</v>
      </c>
      <c r="C2" s="50">
        <f>Report!G14</f>
        <v>0</v>
      </c>
      <c r="D2" s="50">
        <f>Report!G14</f>
        <v>0</v>
      </c>
      <c r="E2" t="s">
        <v>156</v>
      </c>
      <c r="F2" s="53" t="e">
        <f>'C6+ H2S'!O28</f>
        <v>#DIV/0!</v>
      </c>
      <c r="G2" s="52" t="e">
        <f>'C6+ H2S'!O27</f>
        <v>#DIV/0!</v>
      </c>
      <c r="H2" s="52" t="e">
        <f>'C6+ H2S'!D12</f>
        <v>#DIV/0!</v>
      </c>
      <c r="I2" s="52" t="e">
        <f>'C6+ H2S'!D10+'C6+ H2S'!D9</f>
        <v>#DIV/0!</v>
      </c>
      <c r="J2" s="52">
        <f>'C6+ H2S'!D7</f>
        <v>0</v>
      </c>
      <c r="K2" s="52" t="e">
        <f>'C6+ H2S'!D11</f>
        <v>#DIV/0!</v>
      </c>
      <c r="L2" s="52" t="e">
        <f>'C6+ H2S'!D13</f>
        <v>#DIV/0!</v>
      </c>
      <c r="M2" s="52" t="e">
        <f>'C6+ H2S'!D14</f>
        <v>#DIV/0!</v>
      </c>
      <c r="N2" s="52" t="e">
        <f>'C6+ H2S'!D15</f>
        <v>#DIV/0!</v>
      </c>
      <c r="O2" s="52" t="e">
        <f>'C6+ H2S'!D16</f>
        <v>#DIV/0!</v>
      </c>
      <c r="P2" s="52" t="e">
        <f>'C6+ H2S'!D17</f>
        <v>#DIV/0!</v>
      </c>
      <c r="Q2" s="52" t="e">
        <f>'C6+ H2S'!D18</f>
        <v>#DIV/0!</v>
      </c>
      <c r="R2" s="52" t="e">
        <f>'C6+ H2S'!D19</f>
        <v>#DIV/0!</v>
      </c>
      <c r="S2" s="5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E3"/>
  <sheetViews>
    <sheetView workbookViewId="0">
      <selection activeCell="C19" sqref="C19"/>
    </sheetView>
  </sheetViews>
  <sheetFormatPr defaultRowHeight="15" x14ac:dyDescent="0.25"/>
  <cols>
    <col min="1" max="1" width="11.5703125" customWidth="1"/>
    <col min="2" max="2" width="15.7109375" customWidth="1"/>
    <col min="3" max="3" width="9.28515625" customWidth="1"/>
    <col min="4" max="4" width="8.7109375" customWidth="1"/>
    <col min="5" max="5" width="17.42578125" customWidth="1"/>
    <col min="6" max="6" width="15.85546875" customWidth="1"/>
    <col min="7" max="7" width="12.42578125" customWidth="1"/>
    <col min="8" max="8" width="10.28515625" customWidth="1"/>
    <col min="9" max="10" width="13.7109375" customWidth="1"/>
    <col min="11" max="11" width="10.28515625" customWidth="1"/>
    <col min="12" max="12" width="9.85546875" customWidth="1"/>
    <col min="13" max="13" width="13.140625" customWidth="1"/>
    <col min="14" max="14" width="10" customWidth="1"/>
    <col min="15" max="15" width="10.28515625" customWidth="1"/>
    <col min="16" max="16" width="8.28515625" customWidth="1"/>
    <col min="17" max="17" width="7.140625" customWidth="1"/>
    <col min="18" max="18" width="8.7109375" customWidth="1"/>
    <col min="19" max="19" width="10.140625" customWidth="1"/>
    <col min="20" max="20" width="8.28515625" customWidth="1"/>
    <col min="21" max="21" width="7.7109375" customWidth="1"/>
    <col min="22" max="22" width="11.5703125" customWidth="1"/>
    <col min="23" max="23" width="9.5703125" customWidth="1"/>
    <col min="24" max="24" width="14.5703125" customWidth="1"/>
    <col min="25" max="25" width="11.42578125" customWidth="1"/>
    <col min="26" max="26" width="11.140625" customWidth="1"/>
    <col min="27" max="27" width="12.7109375" customWidth="1"/>
    <col min="28" max="28" width="11.5703125" customWidth="1"/>
    <col min="29" max="29" width="13.140625" customWidth="1"/>
    <col min="30" max="30" width="20" customWidth="1"/>
    <col min="31" max="31" width="46.85546875" bestFit="1" customWidth="1"/>
  </cols>
  <sheetData>
    <row r="1" spans="1:31" x14ac:dyDescent="0.25">
      <c r="A1" s="67" t="s">
        <v>212</v>
      </c>
      <c r="B1" s="68" t="s">
        <v>213</v>
      </c>
      <c r="C1" s="68" t="s">
        <v>214</v>
      </c>
      <c r="D1" s="69" t="s">
        <v>215</v>
      </c>
      <c r="E1" s="68" t="s">
        <v>216</v>
      </c>
      <c r="F1" s="68" t="s">
        <v>217</v>
      </c>
      <c r="G1" s="68" t="s">
        <v>218</v>
      </c>
      <c r="H1" s="68" t="s">
        <v>219</v>
      </c>
      <c r="I1" s="70" t="s">
        <v>220</v>
      </c>
      <c r="J1" s="71" t="s">
        <v>221</v>
      </c>
      <c r="K1" s="72" t="s">
        <v>222</v>
      </c>
      <c r="L1" s="72" t="s">
        <v>223</v>
      </c>
      <c r="M1" s="72" t="s">
        <v>224</v>
      </c>
      <c r="N1" s="72" t="s">
        <v>225</v>
      </c>
      <c r="O1" s="73" t="s">
        <v>226</v>
      </c>
      <c r="P1" s="73" t="s">
        <v>227</v>
      </c>
      <c r="Q1" s="73" t="s">
        <v>228</v>
      </c>
      <c r="R1" s="73" t="s">
        <v>229</v>
      </c>
      <c r="S1" s="73" t="s">
        <v>230</v>
      </c>
      <c r="T1" s="73" t="s">
        <v>231</v>
      </c>
      <c r="U1" s="73" t="s">
        <v>232</v>
      </c>
      <c r="V1" s="73" t="s">
        <v>233</v>
      </c>
      <c r="W1" s="73" t="s">
        <v>234</v>
      </c>
      <c r="X1" s="73" t="s">
        <v>235</v>
      </c>
      <c r="Y1" s="73" t="s">
        <v>236</v>
      </c>
      <c r="Z1" s="73" t="s">
        <v>237</v>
      </c>
      <c r="AA1" s="73" t="s">
        <v>238</v>
      </c>
      <c r="AB1" s="73" t="s">
        <v>239</v>
      </c>
      <c r="AC1" s="73" t="s">
        <v>240</v>
      </c>
      <c r="AD1" s="73" t="s">
        <v>241</v>
      </c>
      <c r="AE1" s="37" t="s">
        <v>242</v>
      </c>
    </row>
    <row r="2" spans="1:31" x14ac:dyDescent="0.25">
      <c r="A2" s="67"/>
      <c r="B2" s="74"/>
      <c r="I2" s="50"/>
      <c r="J2" s="50"/>
      <c r="K2" s="75" t="s">
        <v>243</v>
      </c>
      <c r="L2" s="75" t="s">
        <v>158</v>
      </c>
      <c r="M2" s="75" t="s">
        <v>40</v>
      </c>
      <c r="N2" s="75" t="s">
        <v>158</v>
      </c>
      <c r="O2" s="2" t="s">
        <v>244</v>
      </c>
      <c r="P2" s="2" t="s">
        <v>244</v>
      </c>
      <c r="Q2" s="2" t="s">
        <v>244</v>
      </c>
      <c r="R2" s="2" t="s">
        <v>244</v>
      </c>
      <c r="S2" s="2" t="s">
        <v>244</v>
      </c>
      <c r="T2" s="2" t="s">
        <v>244</v>
      </c>
      <c r="U2" s="2" t="s">
        <v>244</v>
      </c>
      <c r="V2" s="2" t="s">
        <v>244</v>
      </c>
      <c r="W2" s="2" t="s">
        <v>244</v>
      </c>
      <c r="X2" s="2" t="s">
        <v>244</v>
      </c>
      <c r="Y2" s="2" t="s">
        <v>244</v>
      </c>
      <c r="Z2" s="2" t="s">
        <v>245</v>
      </c>
      <c r="AA2" s="2" t="s">
        <v>245</v>
      </c>
      <c r="AB2" s="2" t="s">
        <v>23</v>
      </c>
      <c r="AC2" s="2" t="s">
        <v>246</v>
      </c>
      <c r="AD2" s="2" t="s">
        <v>247</v>
      </c>
    </row>
    <row r="3" spans="1:31" x14ac:dyDescent="0.25">
      <c r="A3">
        <f>Report!B9</f>
        <v>0</v>
      </c>
      <c r="B3" s="76" t="s">
        <v>248</v>
      </c>
      <c r="C3" s="77">
        <f>Report!C15</f>
        <v>0</v>
      </c>
      <c r="D3" s="78">
        <f>Report!B9</f>
        <v>0</v>
      </c>
      <c r="E3" s="76">
        <f>Report!C13</f>
        <v>0</v>
      </c>
      <c r="F3" s="76">
        <f>Report!C14</f>
        <v>0</v>
      </c>
      <c r="G3" s="76">
        <f>Report!G13</f>
        <v>0</v>
      </c>
      <c r="H3" s="79">
        <f>Report!B10</f>
        <v>0</v>
      </c>
      <c r="I3" s="50">
        <f>Report!G14</f>
        <v>0</v>
      </c>
      <c r="J3" s="31">
        <f>Report!G14</f>
        <v>0</v>
      </c>
      <c r="K3">
        <f>Report!G15</f>
        <v>0</v>
      </c>
      <c r="L3">
        <f>Report!G16</f>
        <v>0</v>
      </c>
      <c r="M3">
        <f>'C6+ H2S'!G1</f>
        <v>14.65</v>
      </c>
      <c r="N3">
        <v>60</v>
      </c>
      <c r="O3" t="e">
        <f>'C6+ H2S'!D11</f>
        <v>#DIV/0!</v>
      </c>
      <c r="P3" t="e">
        <f>'C6+ H2S'!D13</f>
        <v>#DIV/0!</v>
      </c>
      <c r="Q3" t="e">
        <f>'C6+ H2S'!D14</f>
        <v>#DIV/0!</v>
      </c>
      <c r="R3" t="e">
        <f>'C6+ H2S'!D15</f>
        <v>#DIV/0!</v>
      </c>
      <c r="S3" t="e">
        <f>'C6+ H2S'!D16</f>
        <v>#DIV/0!</v>
      </c>
      <c r="T3" t="e">
        <f>'C6+ H2S'!D17</f>
        <v>#DIV/0!</v>
      </c>
      <c r="U3" t="e">
        <f>'C6+ H2S'!D18</f>
        <v>#DIV/0!</v>
      </c>
      <c r="V3" t="e">
        <f>'C6+ H2S'!D19</f>
        <v>#DIV/0!</v>
      </c>
      <c r="W3" t="e">
        <f>'C6+ H2S'!D12</f>
        <v>#DIV/0!</v>
      </c>
      <c r="X3">
        <f>'C6+ H2S'!D7</f>
        <v>0</v>
      </c>
      <c r="Y3" t="e">
        <f>'C6+ H2S'!D10+'C6+ H2S'!D9</f>
        <v>#DIV/0!</v>
      </c>
      <c r="Z3" t="e">
        <f>'C6+ H2S'!L28</f>
        <v>#DIV/0!</v>
      </c>
      <c r="AA3" t="e">
        <f>'C6+ H2S'!O28</f>
        <v>#DIV/0!</v>
      </c>
      <c r="AB3" t="e">
        <f>'C6+ H2S'!L24</f>
        <v>#DIV/0!</v>
      </c>
      <c r="AC3" t="e">
        <f>'C6+ H2S'!L27</f>
        <v>#DIV/0!</v>
      </c>
      <c r="AD3">
        <f>'C6+ H2S'!B7*10000</f>
        <v>0</v>
      </c>
      <c r="AE3" t="e" cm="1">
        <f t="array" aca="1" ref="AE3" ca="1">MID(CELL("filename"),SEARCH("[",CELL("filename"))+1, SEARCH("]",CELL("filename"))-SEARCH("[",CELL("filename"))-6)</f>
        <v>#N/A</v>
      </c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C6+ H2S</vt:lpstr>
      <vt:lpstr>Report</vt:lpstr>
      <vt:lpstr>Data Base</vt:lpstr>
      <vt:lpstr>Masterfile</vt:lpstr>
      <vt:lpstr>Chromsys</vt:lpstr>
      <vt:lpstr>FMS</vt:lpstr>
      <vt:lpstr>SM_Data</vt:lpstr>
      <vt:lpstr>Report!Print_Area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Natty Gas Lab</dc:creator>
  <cp:lastModifiedBy>Moinuddin Ansari</cp:lastModifiedBy>
  <cp:lastPrinted>2026-07-13T20:58:34Z</cp:lastPrinted>
  <dcterms:created xsi:type="dcterms:W3CDTF">2014-02-26T14:57:39Z</dcterms:created>
  <dcterms:modified xsi:type="dcterms:W3CDTF">2026-09-25T10:09:05Z</dcterms:modified>
</cp:coreProperties>
</file>